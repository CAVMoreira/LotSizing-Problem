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andre\OneDrive\Ambiente de Trabalho\GreenShoes\LotSizing Problem\AMF_LotSizing\"/>
    </mc:Choice>
  </mc:AlternateContent>
  <xr:revisionPtr revIDLastSave="0" documentId="13_ncr:1_{9A83EDDF-FC50-4A30-8AE7-F1E2EACCB195}" xr6:coauthVersionLast="47" xr6:coauthVersionMax="47" xr10:uidLastSave="{00000000-0000-0000-0000-000000000000}"/>
  <bookViews>
    <workbookView xWindow="-120" yWindow="-120" windowWidth="29040" windowHeight="15840" activeTab="4" xr2:uid="{CAC25188-F706-4DFB-9905-10CD054A33EA}"/>
  </bookViews>
  <sheets>
    <sheet name="Dados" sheetId="8" r:id="rId1"/>
    <sheet name="Dados Tratados" sheetId="7" r:id="rId2"/>
    <sheet name="ItemsWeeksMoulds" sheetId="1" r:id="rId3"/>
    <sheet name="IT" sheetId="2" r:id="rId4"/>
    <sheet name="IT2" sheetId="10" r:id="rId5"/>
    <sheet name="MouldMatrix" sheetId="9" r:id="rId6"/>
    <sheet name="Vehicles" sheetId="4" r:id="rId7"/>
  </sheets>
  <definedNames>
    <definedName name="_xlnm._FilterDatabase" localSheetId="0" hidden="1">Dados!$C$2:$C$100</definedName>
    <definedName name="_xlnm._FilterDatabase" localSheetId="1" hidden="1">'Dados Tratados'!$C$2:$C$100</definedName>
    <definedName name="_xlnm._FilterDatabase" localSheetId="3" hidden="1">IT!$A$1:$D$19228</definedName>
    <definedName name="_xlnm._FilterDatabase" localSheetId="2" hidden="1">ItemsWeeksMoulds!$O$2:$O$350</definedName>
    <definedName name="_xlnm._FilterDatabase" localSheetId="5" hidden="1">MouldMatrix!$B$1:$B$84</definedName>
    <definedName name="_xlnm.Extract" localSheetId="1">'Dados Tratados'!$V$2</definedName>
    <definedName name="_xlnm.Extract" localSheetId="2">ItemsWeeksMoulds!$W$3</definedName>
    <definedName name="_xlnm.Extract" localSheetId="5">MouldMatrix!$J:$J</definedName>
    <definedName name="IOT">IT!$A$1:$D$24</definedName>
    <definedName name="IOTGas">'IT2'!$A$1:$D$24</definedName>
    <definedName name="Items">ItemsWeeksMoulds!$A$1:$D$35</definedName>
    <definedName name="MI">ItemsWeeksMoulds!$O$1:$Q$35</definedName>
    <definedName name="Moulds">ItemsWeeksMoulds!$T$1:$U$103</definedName>
    <definedName name="Orders">ItemsWeeksMoulds!$F$1:$F$3</definedName>
    <definedName name="Vehicles">Vehicles!$A$1:$D$6</definedName>
    <definedName name="Weeks">ItemsWeeksMoulds!$G$1:$I$4</definedName>
    <definedName name="WeeksTotal">ItemsWeeksMoulds!$K$1:$K$5</definedName>
    <definedName name="WeeksTotalPlus">ItemsWeeksMoulds!$L$1:$L$6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8" l="1"/>
  <c r="AA3" i="8"/>
  <c r="AA2" i="8"/>
  <c r="AS17" i="7"/>
  <c r="AT17" i="7" s="1"/>
  <c r="AS16" i="7"/>
  <c r="AT16" i="7" s="1"/>
  <c r="AS15" i="7"/>
  <c r="AT15" i="7" s="1"/>
  <c r="AS14" i="7"/>
  <c r="AT14" i="7" s="1"/>
  <c r="AS13" i="7"/>
  <c r="AT13" i="7" s="1"/>
  <c r="AS12" i="7"/>
  <c r="AT12" i="7" s="1"/>
  <c r="AS11" i="7"/>
  <c r="AT11" i="7" s="1"/>
  <c r="AS10" i="7"/>
  <c r="AT10" i="7" s="1"/>
  <c r="AS9" i="7"/>
  <c r="AT9" i="7" s="1"/>
  <c r="AS8" i="7"/>
  <c r="AT8" i="7" s="1"/>
  <c r="AS7" i="7"/>
  <c r="AT7" i="7" s="1"/>
  <c r="AS6" i="7"/>
  <c r="AT6" i="7" s="1"/>
  <c r="AS5" i="7"/>
  <c r="AT5" i="7" s="1"/>
  <c r="AS4" i="7"/>
  <c r="AT4" i="7" s="1"/>
  <c r="AS3" i="7"/>
  <c r="AT3" i="7" s="1"/>
</calcChain>
</file>

<file path=xl/sharedStrings.xml><?xml version="1.0" encoding="utf-8"?>
<sst xmlns="http://schemas.openxmlformats.org/spreadsheetml/2006/main" count="517" uniqueCount="283">
  <si>
    <t>Items</t>
  </si>
  <si>
    <t>Weeks</t>
  </si>
  <si>
    <t>d</t>
  </si>
  <si>
    <t>h</t>
  </si>
  <si>
    <t>a</t>
  </si>
  <si>
    <t>b</t>
  </si>
  <si>
    <t>B</t>
  </si>
  <si>
    <t>WeeksTotal</t>
  </si>
  <si>
    <t>Moulds</t>
  </si>
  <si>
    <t>U</t>
  </si>
  <si>
    <t>w</t>
  </si>
  <si>
    <t xml:space="preserve">Plane 1 </t>
  </si>
  <si>
    <t>Plane 2</t>
  </si>
  <si>
    <t>Vehicles</t>
  </si>
  <si>
    <t>c</t>
  </si>
  <si>
    <t>lt</t>
  </si>
  <si>
    <t>u</t>
  </si>
  <si>
    <t>WeeksTotalPlus</t>
  </si>
  <si>
    <t>Boat 1 Container</t>
  </si>
  <si>
    <t>Boat 2 Containers</t>
  </si>
  <si>
    <t>Boat 3 Containers</t>
  </si>
  <si>
    <t>Orders</t>
  </si>
  <si>
    <t>6A11.00-O2</t>
  </si>
  <si>
    <t>6C11.00-O2</t>
  </si>
  <si>
    <t>6B11.20-O2</t>
  </si>
  <si>
    <t>6C11.40-O2</t>
  </si>
  <si>
    <t>6C12.20-O2</t>
  </si>
  <si>
    <t>6A49.50-S3</t>
  </si>
  <si>
    <t>6B49.55-S3</t>
  </si>
  <si>
    <t>6B51.90-S3</t>
  </si>
  <si>
    <t>6A49.11-S1P</t>
  </si>
  <si>
    <t>6B49.90-S3</t>
  </si>
  <si>
    <t>data_confirmada</t>
  </si>
  <si>
    <t>212456/01</t>
  </si>
  <si>
    <t>212429/01</t>
  </si>
  <si>
    <t>212468/01</t>
  </si>
  <si>
    <t>214567/01</t>
  </si>
  <si>
    <t>214569/01</t>
  </si>
  <si>
    <t>212435/01</t>
  </si>
  <si>
    <t>212460/01</t>
  </si>
  <si>
    <t>214564/01</t>
  </si>
  <si>
    <t>6A49.51-S1P</t>
  </si>
  <si>
    <t>214565/01</t>
  </si>
  <si>
    <t>6B50.51-S3</t>
  </si>
  <si>
    <t>214255/09</t>
  </si>
  <si>
    <t>214255/10</t>
  </si>
  <si>
    <t>214255/11</t>
  </si>
  <si>
    <t>212436/01</t>
  </si>
  <si>
    <t>214568/01</t>
  </si>
  <si>
    <t>6B49.50-S3</t>
  </si>
  <si>
    <t>212430/01</t>
  </si>
  <si>
    <t>numero</t>
  </si>
  <si>
    <t>order_nr</t>
  </si>
  <si>
    <t>data</t>
  </si>
  <si>
    <t>cod_cli</t>
  </si>
  <si>
    <t>data_entrega</t>
  </si>
  <si>
    <t>qtd_encomendada</t>
  </si>
  <si>
    <t>ref</t>
  </si>
  <si>
    <t>ref_fabrica</t>
  </si>
  <si>
    <t>210352/01</t>
  </si>
  <si>
    <t>C1178</t>
  </si>
  <si>
    <t>6B51.50-S3</t>
  </si>
  <si>
    <t>DAFNE</t>
  </si>
  <si>
    <t>6C11.20-O2</t>
  </si>
  <si>
    <t>EB</t>
  </si>
  <si>
    <t>Reference</t>
  </si>
  <si>
    <t>Description</t>
  </si>
  <si>
    <t>6A03.10-S3</t>
  </si>
  <si>
    <t>Michelin</t>
  </si>
  <si>
    <t>6A03.12-S3</t>
  </si>
  <si>
    <t>6A06.20-S3</t>
  </si>
  <si>
    <t>6A08.11-S1P</t>
  </si>
  <si>
    <t>Fusion</t>
  </si>
  <si>
    <t>6A08.51-S1P</t>
  </si>
  <si>
    <t>6A09.00-S3</t>
  </si>
  <si>
    <t>Cls</t>
  </si>
  <si>
    <t>6A09.11-S1P</t>
  </si>
  <si>
    <t>6A10.20.3-S1P</t>
  </si>
  <si>
    <t>6A10.20-S1P</t>
  </si>
  <si>
    <t>Magnum</t>
  </si>
  <si>
    <t>6A11.14</t>
  </si>
  <si>
    <t>6A13.40-O3</t>
  </si>
  <si>
    <t>Elite</t>
  </si>
  <si>
    <t>6A45.20.3-S3</t>
  </si>
  <si>
    <t>6A45.20-S3</t>
  </si>
  <si>
    <t>6A49.30-S3</t>
  </si>
  <si>
    <t>6A49.80-S3</t>
  </si>
  <si>
    <t>6A49.90-S3</t>
  </si>
  <si>
    <t>6A51.50-S3</t>
  </si>
  <si>
    <t>6A51.80-S3</t>
  </si>
  <si>
    <t>6A51.90-S3</t>
  </si>
  <si>
    <t>6A51.95-S3</t>
  </si>
  <si>
    <t>6A90.10-S2</t>
  </si>
  <si>
    <t>Sika</t>
  </si>
  <si>
    <t>6A90.19-S2</t>
  </si>
  <si>
    <t>6A91.10-S2</t>
  </si>
  <si>
    <t>6A91.19-S2</t>
  </si>
  <si>
    <t>6A92.10-S1</t>
  </si>
  <si>
    <t>6A92.19-S1</t>
  </si>
  <si>
    <t>6A93.10-S2</t>
  </si>
  <si>
    <t>6A93.19-S2</t>
  </si>
  <si>
    <t>6B03.10-S3</t>
  </si>
  <si>
    <t>6B03.12-S3</t>
  </si>
  <si>
    <t>6B05.20-S3</t>
  </si>
  <si>
    <t>6B06.20-S3</t>
  </si>
  <si>
    <t>6B07.00-S3</t>
  </si>
  <si>
    <t>6B09.00-S3</t>
  </si>
  <si>
    <t>6B11.14</t>
  </si>
  <si>
    <t>6B12.00-O2</t>
  </si>
  <si>
    <t>6B13.40-O3</t>
  </si>
  <si>
    <t>6B45.20.3-S3</t>
  </si>
  <si>
    <t>6B45.20-S3</t>
  </si>
  <si>
    <t>6B49.30-S3</t>
  </si>
  <si>
    <t>6B49.55-S1P</t>
  </si>
  <si>
    <t>6B49.80-S3</t>
  </si>
  <si>
    <t>6B49.95-S3</t>
  </si>
  <si>
    <t>6B50.91-S3</t>
  </si>
  <si>
    <t>6B51.80-S3</t>
  </si>
  <si>
    <t>6B51.95-S3</t>
  </si>
  <si>
    <t>6B84.00-S3</t>
  </si>
  <si>
    <t>6B84.20-S3</t>
  </si>
  <si>
    <t>6B84.22-S3</t>
  </si>
  <si>
    <t>6B84.80-S3</t>
  </si>
  <si>
    <t>6B84.82-S3</t>
  </si>
  <si>
    <t>6B91.10-S2</t>
  </si>
  <si>
    <t>6B91.19-S2</t>
  </si>
  <si>
    <t>6C03.10-S3</t>
  </si>
  <si>
    <t>6C03.12-S3</t>
  </si>
  <si>
    <t>6C07.00-S3</t>
  </si>
  <si>
    <t>6C07.40-S3</t>
  </si>
  <si>
    <t>6C11.04-O2</t>
  </si>
  <si>
    <t>6C11.14</t>
  </si>
  <si>
    <t>6C11.24</t>
  </si>
  <si>
    <t>6C12.00-O2</t>
  </si>
  <si>
    <t>6C13.40-O3</t>
  </si>
  <si>
    <t>6C45.00-S3</t>
  </si>
  <si>
    <t>6A15.20-SB</t>
  </si>
  <si>
    <t>6B15.20-SB</t>
  </si>
  <si>
    <t>6B52.05-S3</t>
  </si>
  <si>
    <t>6B65.11-S3</t>
  </si>
  <si>
    <t>6C94.22-S3</t>
  </si>
  <si>
    <t>Magnum T35</t>
  </si>
  <si>
    <t>Magnum T36</t>
  </si>
  <si>
    <t>Magnum T37</t>
  </si>
  <si>
    <t>Magnum T38</t>
  </si>
  <si>
    <t>Magnum T39</t>
  </si>
  <si>
    <t>Magnum T40</t>
  </si>
  <si>
    <t>Magnum T41</t>
  </si>
  <si>
    <t>Magnum T42</t>
  </si>
  <si>
    <t>Magnum T43</t>
  </si>
  <si>
    <t>Magnum T44</t>
  </si>
  <si>
    <t>Magnum T45</t>
  </si>
  <si>
    <t>Magnum T46</t>
  </si>
  <si>
    <t>Magnum T47</t>
  </si>
  <si>
    <t>Magnum T48</t>
  </si>
  <si>
    <t>Magnum T49</t>
  </si>
  <si>
    <t>Magnum T50</t>
  </si>
  <si>
    <t>Magnum T51</t>
  </si>
  <si>
    <t>6B51.50-S3 T35</t>
  </si>
  <si>
    <t>6B51.50-S3 T36</t>
  </si>
  <si>
    <t>6B51.50-S3 T37</t>
  </si>
  <si>
    <t>6B51.50-S3 T38</t>
  </si>
  <si>
    <t>6B51.50-S3 T39</t>
  </si>
  <si>
    <t>6B51.50-S3 T40</t>
  </si>
  <si>
    <t>6B51.50-S3 T41</t>
  </si>
  <si>
    <t>6B51.50-S3 T42</t>
  </si>
  <si>
    <t>6B51.50-S3 T43</t>
  </si>
  <si>
    <t>6B51.50-S3 T44</t>
  </si>
  <si>
    <t>6B51.50-S3 T45</t>
  </si>
  <si>
    <t>6B51.50-S3 T46</t>
  </si>
  <si>
    <t>6B51.50-S3 T47</t>
  </si>
  <si>
    <t>6B51.50-S3 T48</t>
  </si>
  <si>
    <t>6B51.50-S3 T49</t>
  </si>
  <si>
    <t>6B51.50-S3 T50</t>
  </si>
  <si>
    <t>6B51.50-S3 T51</t>
  </si>
  <si>
    <t>Fusion T35</t>
  </si>
  <si>
    <t>Fusion T36</t>
  </si>
  <si>
    <t>Fusion T37</t>
  </si>
  <si>
    <t>Fusion T38</t>
  </si>
  <si>
    <t>Fusion T39</t>
  </si>
  <si>
    <t>Fusion T40</t>
  </si>
  <si>
    <t>Fusion T41</t>
  </si>
  <si>
    <t>Fusion T42</t>
  </si>
  <si>
    <t>Fusion T43</t>
  </si>
  <si>
    <t>Fusion T44</t>
  </si>
  <si>
    <t>Fusion T45</t>
  </si>
  <si>
    <t>Fusion T46</t>
  </si>
  <si>
    <t>Fusion T47</t>
  </si>
  <si>
    <t>Fusion T48</t>
  </si>
  <si>
    <t>Fusion T49</t>
  </si>
  <si>
    <t>Fusion T50</t>
  </si>
  <si>
    <t>Fusion T51</t>
  </si>
  <si>
    <t>Michelin T35</t>
  </si>
  <si>
    <t>Michelin T36</t>
  </si>
  <si>
    <t>Michelin T37</t>
  </si>
  <si>
    <t>Michelin T38</t>
  </si>
  <si>
    <t>Michelin T39</t>
  </si>
  <si>
    <t>Michelin T40</t>
  </si>
  <si>
    <t>Michelin T41</t>
  </si>
  <si>
    <t>Michelin T42</t>
  </si>
  <si>
    <t>Michelin T43</t>
  </si>
  <si>
    <t>Michelin T44</t>
  </si>
  <si>
    <t>Michelin T45</t>
  </si>
  <si>
    <t>Michelin T46</t>
  </si>
  <si>
    <t>Michelin T47</t>
  </si>
  <si>
    <t>Michelin T48</t>
  </si>
  <si>
    <t>Michelin T49</t>
  </si>
  <si>
    <t>Michelin T50</t>
  </si>
  <si>
    <t>Michelin T51</t>
  </si>
  <si>
    <t>Cls T35</t>
  </si>
  <si>
    <t>Cls T36</t>
  </si>
  <si>
    <t>Cls T37</t>
  </si>
  <si>
    <t>Cls T38</t>
  </si>
  <si>
    <t>Cls T39</t>
  </si>
  <si>
    <t>Cls T40</t>
  </si>
  <si>
    <t>Cls T41</t>
  </si>
  <si>
    <t>Cls T42</t>
  </si>
  <si>
    <t>Cls T43</t>
  </si>
  <si>
    <t>Cls T44</t>
  </si>
  <si>
    <t>Cls T45</t>
  </si>
  <si>
    <t>Cls T46</t>
  </si>
  <si>
    <t>Cls T47</t>
  </si>
  <si>
    <t>Cls T48</t>
  </si>
  <si>
    <t>Cls T49</t>
  </si>
  <si>
    <t>Cls T50</t>
  </si>
  <si>
    <t>Cls T51</t>
  </si>
  <si>
    <t>Elite T35</t>
  </si>
  <si>
    <t>Elite T36</t>
  </si>
  <si>
    <t>Elite T37</t>
  </si>
  <si>
    <t>Elite T38</t>
  </si>
  <si>
    <t>Elite T39</t>
  </si>
  <si>
    <t>Elite T40</t>
  </si>
  <si>
    <t>Elite T41</t>
  </si>
  <si>
    <t>Elite T42</t>
  </si>
  <si>
    <t>Elite T43</t>
  </si>
  <si>
    <t>Elite T44</t>
  </si>
  <si>
    <t>Elite T45</t>
  </si>
  <si>
    <t>Elite T46</t>
  </si>
  <si>
    <t>Elite T47</t>
  </si>
  <si>
    <t>Elite T48</t>
  </si>
  <si>
    <t>Elite T49</t>
  </si>
  <si>
    <t>Elite T50</t>
  </si>
  <si>
    <t>Elite T51</t>
  </si>
  <si>
    <t>Sika T35</t>
  </si>
  <si>
    <t>Sika T36</t>
  </si>
  <si>
    <t>Sika T37</t>
  </si>
  <si>
    <t>Sika T38</t>
  </si>
  <si>
    <t>Sika T39</t>
  </si>
  <si>
    <t>Sika T40</t>
  </si>
  <si>
    <t>Sika T41</t>
  </si>
  <si>
    <t>Sika T42</t>
  </si>
  <si>
    <t>Sika T43</t>
  </si>
  <si>
    <t>Sika T44</t>
  </si>
  <si>
    <t>Sika T45</t>
  </si>
  <si>
    <t>Sika T46</t>
  </si>
  <si>
    <t>Sika T47</t>
  </si>
  <si>
    <t>Sika T48</t>
  </si>
  <si>
    <t>Sika T49</t>
  </si>
  <si>
    <t>Sika T50</t>
  </si>
  <si>
    <t>Sika T51</t>
  </si>
  <si>
    <t>FS</t>
  </si>
  <si>
    <t>NULL</t>
  </si>
  <si>
    <t>Beja</t>
  </si>
  <si>
    <t>6B51.90-S3 T35</t>
  </si>
  <si>
    <t>6B51.90-S3 T36</t>
  </si>
  <si>
    <t>6B51.90-S3 T37</t>
  </si>
  <si>
    <t>6B51.90-S3 T38</t>
  </si>
  <si>
    <t>6B51.90-S3 T39</t>
  </si>
  <si>
    <t>6B51.90-S3 T40</t>
  </si>
  <si>
    <t>6B51.90-S3 T41</t>
  </si>
  <si>
    <t>6B51.90-S3 T42</t>
  </si>
  <si>
    <t>6B51.90-S3 T43</t>
  </si>
  <si>
    <t>6B51.90-S3 T44</t>
  </si>
  <si>
    <t>6B51.90-S3 T45</t>
  </si>
  <si>
    <t>6B51.90-S3 T46</t>
  </si>
  <si>
    <t>6B51.90-S3 T47</t>
  </si>
  <si>
    <t>6B51.90-S3 T48</t>
  </si>
  <si>
    <t>6B51.90-S3 T49</t>
  </si>
  <si>
    <t>6B51.90-S3 T50</t>
  </si>
  <si>
    <t>6B51.90-S3 T51</t>
  </si>
  <si>
    <t>Chegada Gáspea</t>
  </si>
  <si>
    <t>gas</t>
  </si>
  <si>
    <t>215127/09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</si>
</sst>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0" fontId="2" fillId="0" borderId="0" xfId="0" applyFont="1" applyAlignment="1">
      <alignment vertical="center"/>
    </xf>
    <xf numFmtId="0" fontId="4" fillId="0" borderId="1" xfId="1" applyFont="1" applyBorder="1"/>
    <xf numFmtId="0" fontId="3" fillId="0" borderId="0" xfId="1"/>
    <xf numFmtId="0" fontId="4" fillId="0" borderId="1" xfId="0" applyFont="1" applyBorder="1"/>
    <xf numFmtId="14" fontId="4" fillId="0" borderId="1" xfId="0" applyNumberFormat="1" applyFont="1" applyBorder="1"/>
    <xf numFmtId="0" fontId="0" fillId="2" borderId="0" xfId="0" applyFill="1"/>
    <xf numFmtId="0" fontId="0" fillId="3" borderId="0" xfId="0" applyFill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22" fontId="0" fillId="0" borderId="0" xfId="0" applyNumberForma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8" borderId="0" xfId="1" applyFill="1"/>
  </cellXfs>
  <cellStyles count="2">
    <cellStyle name="Normal" xfId="0" builtinId="0"/>
    <cellStyle name="Normal 2" xfId="1" xr:uid="{D1FAB669-0744-4EAF-9A9F-FECC0D0D6EE5}"/>
  </cellStyles>
  <dxfs count="3"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114300</xdr:colOff>
          <xdr:row>19</xdr:row>
          <xdr:rowOff>104775</xdr:rowOff>
        </xdr:from>
        <xdr:to>
          <xdr:col>24</xdr:col>
          <xdr:colOff>257175</xdr:colOff>
          <xdr:row>23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A0D80-5442-4C8F-972B-B1B3E5FA2FFC}">
  <sheetPr codeName="Folha5"/>
  <dimension ref="A1:AA24"/>
  <sheetViews>
    <sheetView topLeftCell="B1" workbookViewId="0">
      <selection activeCell="I9" sqref="I9"/>
    </sheetView>
  </sheetViews>
  <sheetFormatPr defaultRowHeight="15"/>
  <cols>
    <col min="2" max="2" width="9.85546875" bestFit="1" customWidth="1"/>
    <col min="3" max="3" width="15.85546875" bestFit="1" customWidth="1"/>
    <col min="5" max="6" width="15.85546875" bestFit="1" customWidth="1"/>
    <col min="7" max="7" width="14.140625" bestFit="1" customWidth="1"/>
    <col min="8" max="9" width="11" bestFit="1" customWidth="1"/>
  </cols>
  <sheetData>
    <row r="1" spans="1:27">
      <c r="A1" s="4" t="s">
        <v>51</v>
      </c>
      <c r="B1" s="4" t="s">
        <v>52</v>
      </c>
      <c r="C1" s="4" t="s">
        <v>53</v>
      </c>
      <c r="D1" s="4" t="s">
        <v>54</v>
      </c>
      <c r="E1" s="4" t="s">
        <v>55</v>
      </c>
      <c r="F1" s="4" t="s">
        <v>32</v>
      </c>
      <c r="G1" s="4" t="s">
        <v>56</v>
      </c>
      <c r="H1" s="4" t="s">
        <v>57</v>
      </c>
      <c r="I1" s="4" t="s">
        <v>58</v>
      </c>
      <c r="J1" s="4">
        <v>35</v>
      </c>
      <c r="K1" s="4">
        <v>36</v>
      </c>
      <c r="L1" s="4">
        <v>37</v>
      </c>
      <c r="M1" s="4">
        <v>38</v>
      </c>
      <c r="N1" s="4">
        <v>39</v>
      </c>
      <c r="O1" s="4">
        <v>40</v>
      </c>
      <c r="P1" s="4">
        <v>41</v>
      </c>
      <c r="Q1" s="4">
        <v>42</v>
      </c>
      <c r="R1" s="4">
        <v>43</v>
      </c>
      <c r="S1" s="4">
        <v>44</v>
      </c>
      <c r="T1" s="4">
        <v>45</v>
      </c>
      <c r="U1" s="4">
        <v>46</v>
      </c>
      <c r="V1" s="4">
        <v>47</v>
      </c>
      <c r="W1" s="4">
        <v>48</v>
      </c>
      <c r="X1" s="4">
        <v>49</v>
      </c>
      <c r="Y1" s="4">
        <v>50</v>
      </c>
      <c r="Z1" s="4">
        <v>51</v>
      </c>
    </row>
    <row r="2" spans="1:27">
      <c r="A2">
        <v>106027</v>
      </c>
      <c r="B2" t="s">
        <v>59</v>
      </c>
      <c r="C2" s="11">
        <v>44209</v>
      </c>
      <c r="D2" t="s">
        <v>60</v>
      </c>
      <c r="E2" s="11">
        <v>44209</v>
      </c>
      <c r="F2" s="11">
        <v>44295</v>
      </c>
      <c r="G2">
        <v>1000</v>
      </c>
      <c r="H2" t="s">
        <v>61</v>
      </c>
      <c r="I2" t="s">
        <v>62</v>
      </c>
      <c r="J2">
        <v>0</v>
      </c>
      <c r="K2">
        <v>10</v>
      </c>
      <c r="L2">
        <v>10</v>
      </c>
      <c r="M2">
        <v>10</v>
      </c>
      <c r="N2">
        <v>40</v>
      </c>
      <c r="O2">
        <v>20</v>
      </c>
      <c r="P2">
        <v>220</v>
      </c>
      <c r="Q2">
        <v>240</v>
      </c>
      <c r="R2">
        <v>240</v>
      </c>
      <c r="S2">
        <v>150</v>
      </c>
      <c r="T2">
        <v>50</v>
      </c>
      <c r="U2">
        <v>0</v>
      </c>
      <c r="V2">
        <v>10</v>
      </c>
      <c r="W2">
        <v>0</v>
      </c>
      <c r="X2">
        <v>0</v>
      </c>
      <c r="Y2">
        <v>0</v>
      </c>
      <c r="Z2">
        <v>0</v>
      </c>
      <c r="AA2">
        <f>WEEKNUM(F2)</f>
        <v>15</v>
      </c>
    </row>
    <row r="3" spans="1:27">
      <c r="A3">
        <v>117926</v>
      </c>
      <c r="B3" t="s">
        <v>282</v>
      </c>
      <c r="C3" s="11">
        <v>44347</v>
      </c>
      <c r="D3" t="s">
        <v>260</v>
      </c>
      <c r="E3" t="s">
        <v>261</v>
      </c>
      <c r="F3" s="11">
        <v>44308</v>
      </c>
      <c r="G3">
        <f>SUM(J3:Z3)</f>
        <v>8000</v>
      </c>
      <c r="H3" t="s">
        <v>29</v>
      </c>
      <c r="I3" t="s">
        <v>262</v>
      </c>
      <c r="J3">
        <v>0</v>
      </c>
      <c r="K3">
        <v>50</v>
      </c>
      <c r="L3">
        <v>75</v>
      </c>
      <c r="M3">
        <v>150</v>
      </c>
      <c r="N3">
        <v>400</v>
      </c>
      <c r="O3">
        <v>550</v>
      </c>
      <c r="P3">
        <v>1425</v>
      </c>
      <c r="Q3">
        <v>1875</v>
      </c>
      <c r="R3">
        <v>1675</v>
      </c>
      <c r="S3">
        <v>1000</v>
      </c>
      <c r="T3">
        <v>475</v>
      </c>
      <c r="U3">
        <v>225</v>
      </c>
      <c r="V3">
        <v>100</v>
      </c>
      <c r="W3">
        <v>0</v>
      </c>
      <c r="X3">
        <v>0</v>
      </c>
      <c r="Y3">
        <v>0</v>
      </c>
      <c r="Z3">
        <v>0</v>
      </c>
      <c r="AA3">
        <f>WEEKNUM(F3)</f>
        <v>17</v>
      </c>
    </row>
    <row r="4" spans="1:27">
      <c r="C4" s="11"/>
      <c r="F4" s="11"/>
    </row>
    <row r="5" spans="1:27">
      <c r="C5" s="11"/>
      <c r="E5" s="11"/>
      <c r="F5" s="11"/>
    </row>
    <row r="6" spans="1:27">
      <c r="C6" s="11"/>
      <c r="E6" s="11"/>
      <c r="F6" s="11"/>
    </row>
    <row r="7" spans="1:27">
      <c r="C7" s="11"/>
      <c r="E7" s="11"/>
      <c r="F7" s="11"/>
    </row>
    <row r="8" spans="1:27">
      <c r="C8" s="11"/>
      <c r="E8" s="11"/>
      <c r="F8" s="11"/>
    </row>
    <row r="9" spans="1:27">
      <c r="C9" s="11"/>
      <c r="E9" s="11"/>
      <c r="F9" s="11"/>
    </row>
    <row r="10" spans="1:27">
      <c r="C10" s="11"/>
      <c r="E10" s="11"/>
      <c r="F10" s="11"/>
    </row>
    <row r="11" spans="1:27">
      <c r="C11" s="11"/>
      <c r="E11" s="11"/>
      <c r="F11" s="11"/>
    </row>
    <row r="12" spans="1:27">
      <c r="C12" s="11"/>
      <c r="E12" s="11"/>
      <c r="F12" s="11"/>
    </row>
    <row r="13" spans="1:27">
      <c r="C13" s="11"/>
      <c r="E13" s="11"/>
      <c r="F13" s="11"/>
    </row>
    <row r="14" spans="1:27">
      <c r="C14" s="11"/>
      <c r="E14" s="11"/>
      <c r="F14" s="11"/>
    </row>
    <row r="15" spans="1:27">
      <c r="C15" s="11"/>
      <c r="E15" s="11"/>
      <c r="F15" s="11"/>
    </row>
    <row r="16" spans="1:27">
      <c r="C16" s="11"/>
      <c r="E16" s="11"/>
      <c r="F16" s="11"/>
    </row>
    <row r="17" spans="3:6">
      <c r="C17" s="11"/>
      <c r="E17" s="11"/>
      <c r="F17" s="11"/>
    </row>
    <row r="18" spans="3:6">
      <c r="C18" s="11"/>
      <c r="E18" s="11"/>
      <c r="F18" s="11"/>
    </row>
    <row r="19" spans="3:6">
      <c r="C19" s="11"/>
      <c r="E19" s="11"/>
      <c r="F19" s="11"/>
    </row>
    <row r="20" spans="3:6">
      <c r="C20" s="11"/>
      <c r="E20" s="11"/>
      <c r="F20" s="11"/>
    </row>
    <row r="21" spans="3:6">
      <c r="C21" s="11"/>
      <c r="E21" s="11"/>
      <c r="F21" s="11"/>
    </row>
    <row r="22" spans="3:6">
      <c r="C22" s="11"/>
      <c r="E22" s="11"/>
      <c r="F22" s="11"/>
    </row>
    <row r="23" spans="3:6">
      <c r="C23" s="11"/>
      <c r="E23" s="11"/>
      <c r="F23" s="11"/>
    </row>
    <row r="24" spans="3:6">
      <c r="C24" s="11"/>
      <c r="E24" s="11"/>
      <c r="F24" s="1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B2389-968D-4E5A-A452-EB0881D55C90}">
  <sheetPr codeName="Folha3"/>
  <dimension ref="A1:AT17"/>
  <sheetViews>
    <sheetView workbookViewId="0">
      <selection activeCell="T2" sqref="D2:T2"/>
    </sheetView>
  </sheetViews>
  <sheetFormatPr defaultRowHeight="12"/>
  <cols>
    <col min="1" max="2" width="9.140625" style="3"/>
    <col min="3" max="3" width="11.7109375" style="3" bestFit="1" customWidth="1"/>
    <col min="4" max="20" width="9.140625" style="3"/>
    <col min="21" max="21" width="14.28515625" style="15" bestFit="1" customWidth="1"/>
    <col min="22" max="25" width="9.140625" style="3"/>
    <col min="26" max="26" width="13.140625" style="3" bestFit="1" customWidth="1"/>
    <col min="27" max="16384" width="9.140625" style="3"/>
  </cols>
  <sheetData>
    <row r="1" spans="1:46">
      <c r="A1" s="4" t="s">
        <v>21</v>
      </c>
      <c r="B1" s="5" t="s">
        <v>1</v>
      </c>
      <c r="C1" s="4" t="s">
        <v>0</v>
      </c>
      <c r="D1" s="4">
        <v>35</v>
      </c>
      <c r="E1" s="4">
        <v>36</v>
      </c>
      <c r="F1" s="4">
        <v>37</v>
      </c>
      <c r="G1" s="4">
        <v>38</v>
      </c>
      <c r="H1" s="4">
        <v>39</v>
      </c>
      <c r="I1" s="4">
        <v>40</v>
      </c>
      <c r="J1" s="4">
        <v>41</v>
      </c>
      <c r="K1" s="4">
        <v>42</v>
      </c>
      <c r="L1" s="4">
        <v>43</v>
      </c>
      <c r="M1" s="4">
        <v>44</v>
      </c>
      <c r="N1" s="4">
        <v>45</v>
      </c>
      <c r="O1" s="4">
        <v>46</v>
      </c>
      <c r="P1" s="4">
        <v>47</v>
      </c>
      <c r="Q1" s="4">
        <v>48</v>
      </c>
      <c r="R1" s="4">
        <v>49</v>
      </c>
      <c r="S1" s="4">
        <v>50</v>
      </c>
      <c r="T1" s="4">
        <v>51</v>
      </c>
      <c r="U1" s="15" t="s">
        <v>280</v>
      </c>
      <c r="V1" s="2" t="s">
        <v>0</v>
      </c>
    </row>
    <row r="2" spans="1:46" ht="15">
      <c r="A2" s="6">
        <v>106027</v>
      </c>
      <c r="B2" s="8">
        <v>1</v>
      </c>
      <c r="C2" s="6" t="s">
        <v>61</v>
      </c>
      <c r="D2" s="6">
        <v>0</v>
      </c>
      <c r="E2" s="6">
        <v>10</v>
      </c>
      <c r="F2" s="6">
        <v>10</v>
      </c>
      <c r="G2" s="6">
        <v>10</v>
      </c>
      <c r="H2" s="6">
        <v>40</v>
      </c>
      <c r="I2" s="6">
        <v>20</v>
      </c>
      <c r="J2" s="6">
        <v>220</v>
      </c>
      <c r="K2" s="6">
        <v>240</v>
      </c>
      <c r="L2" s="6">
        <v>240</v>
      </c>
      <c r="M2" s="6">
        <v>150</v>
      </c>
      <c r="N2" s="6">
        <v>50</v>
      </c>
      <c r="O2" s="6">
        <v>0</v>
      </c>
      <c r="P2" s="6">
        <v>10</v>
      </c>
      <c r="Q2" s="6">
        <v>0</v>
      </c>
      <c r="R2" s="6">
        <v>0</v>
      </c>
      <c r="S2" s="6">
        <v>0</v>
      </c>
      <c r="T2" s="6">
        <v>0</v>
      </c>
      <c r="U2" s="15">
        <v>2</v>
      </c>
      <c r="V2" s="6" t="s">
        <v>61</v>
      </c>
      <c r="Y2" s="4" t="s">
        <v>21</v>
      </c>
      <c r="Z2" s="5" t="s">
        <v>32</v>
      </c>
      <c r="AA2" s="4" t="s">
        <v>0</v>
      </c>
      <c r="AB2" s="4">
        <v>35</v>
      </c>
      <c r="AC2" s="4">
        <v>36</v>
      </c>
      <c r="AD2" s="4">
        <v>37</v>
      </c>
      <c r="AE2" s="4">
        <v>38</v>
      </c>
      <c r="AF2" s="4">
        <v>39</v>
      </c>
      <c r="AG2" s="4">
        <v>40</v>
      </c>
      <c r="AH2" s="4">
        <v>41</v>
      </c>
      <c r="AI2" s="4">
        <v>42</v>
      </c>
      <c r="AJ2" s="4">
        <v>43</v>
      </c>
      <c r="AK2" s="4">
        <v>44</v>
      </c>
      <c r="AL2" s="4">
        <v>45</v>
      </c>
      <c r="AM2" s="4">
        <v>46</v>
      </c>
      <c r="AN2" s="4">
        <v>47</v>
      </c>
      <c r="AO2" s="4">
        <v>48</v>
      </c>
      <c r="AP2" s="4">
        <v>49</v>
      </c>
      <c r="AQ2" s="4">
        <v>50</v>
      </c>
      <c r="AR2" s="4">
        <v>51</v>
      </c>
      <c r="AS2"/>
    </row>
    <row r="3" spans="1:46" ht="15">
      <c r="A3" s="6">
        <v>117926</v>
      </c>
      <c r="B3" s="8">
        <v>3</v>
      </c>
      <c r="C3" s="6" t="s">
        <v>29</v>
      </c>
      <c r="D3" s="6">
        <v>0</v>
      </c>
      <c r="E3" s="6">
        <v>50</v>
      </c>
      <c r="F3" s="6">
        <v>75</v>
      </c>
      <c r="G3" s="6">
        <v>150</v>
      </c>
      <c r="H3" s="6">
        <v>400</v>
      </c>
      <c r="I3" s="6">
        <v>550</v>
      </c>
      <c r="J3" s="6">
        <v>1425</v>
      </c>
      <c r="K3" s="6">
        <v>1875</v>
      </c>
      <c r="L3" s="6">
        <v>1675</v>
      </c>
      <c r="M3" s="6">
        <v>1000</v>
      </c>
      <c r="N3" s="6">
        <v>475</v>
      </c>
      <c r="O3" s="6">
        <v>225</v>
      </c>
      <c r="P3" s="6">
        <v>100</v>
      </c>
      <c r="Q3" s="6">
        <v>0</v>
      </c>
      <c r="R3" s="6">
        <v>0</v>
      </c>
      <c r="S3" s="6">
        <v>0</v>
      </c>
      <c r="T3" s="6">
        <v>0</v>
      </c>
      <c r="U3" s="15">
        <v>2</v>
      </c>
      <c r="V3" s="6" t="s">
        <v>29</v>
      </c>
      <c r="Y3" s="6" t="s">
        <v>33</v>
      </c>
      <c r="Z3" s="8">
        <v>1</v>
      </c>
      <c r="AA3" s="6" t="s">
        <v>23</v>
      </c>
      <c r="AB3" s="6">
        <v>0</v>
      </c>
      <c r="AC3" s="6">
        <v>10</v>
      </c>
      <c r="AD3" s="6">
        <v>10</v>
      </c>
      <c r="AE3" s="6">
        <v>20</v>
      </c>
      <c r="AF3" s="6">
        <v>20</v>
      </c>
      <c r="AG3" s="6">
        <v>40</v>
      </c>
      <c r="AH3" s="6">
        <v>80</v>
      </c>
      <c r="AI3" s="6">
        <v>120</v>
      </c>
      <c r="AJ3" s="6">
        <v>136</v>
      </c>
      <c r="AK3" s="6">
        <v>88</v>
      </c>
      <c r="AL3" s="6">
        <v>56</v>
      </c>
      <c r="AM3" s="6">
        <v>16</v>
      </c>
      <c r="AN3" s="6">
        <v>8</v>
      </c>
      <c r="AO3" s="6">
        <v>0</v>
      </c>
      <c r="AP3" s="6">
        <v>0</v>
      </c>
      <c r="AQ3" s="6">
        <v>0</v>
      </c>
      <c r="AR3" s="6">
        <v>0</v>
      </c>
      <c r="AS3">
        <f t="shared" ref="AS3:AS17" si="0">WEEKNUM(Z3)</f>
        <v>1</v>
      </c>
      <c r="AT3" s="3">
        <f>AS3-37</f>
        <v>-36</v>
      </c>
    </row>
    <row r="4" spans="1:46" ht="15">
      <c r="A4" s="6"/>
      <c r="B4" s="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V4" s="6"/>
      <c r="Y4" s="6" t="s">
        <v>34</v>
      </c>
      <c r="Z4" s="8">
        <v>2</v>
      </c>
      <c r="AA4" s="6" t="s">
        <v>22</v>
      </c>
      <c r="AB4" s="6">
        <v>0</v>
      </c>
      <c r="AC4" s="6">
        <v>0</v>
      </c>
      <c r="AD4" s="6">
        <v>0</v>
      </c>
      <c r="AE4" s="6">
        <v>30</v>
      </c>
      <c r="AF4" s="6">
        <v>40</v>
      </c>
      <c r="AG4" s="6">
        <v>50</v>
      </c>
      <c r="AH4" s="6">
        <v>90</v>
      </c>
      <c r="AI4" s="6">
        <v>180</v>
      </c>
      <c r="AJ4" s="6">
        <v>200</v>
      </c>
      <c r="AK4" s="6">
        <v>120</v>
      </c>
      <c r="AL4" s="6">
        <v>60</v>
      </c>
      <c r="AM4" s="6">
        <v>30</v>
      </c>
      <c r="AN4" s="6">
        <v>0</v>
      </c>
      <c r="AO4" s="6">
        <v>0</v>
      </c>
      <c r="AP4" s="6">
        <v>0</v>
      </c>
      <c r="AQ4" s="6">
        <v>0</v>
      </c>
      <c r="AR4" s="6">
        <v>0</v>
      </c>
      <c r="AS4">
        <f t="shared" si="0"/>
        <v>1</v>
      </c>
      <c r="AT4" s="3">
        <f t="shared" ref="AT4:AT17" si="1">AS4-37</f>
        <v>-36</v>
      </c>
    </row>
    <row r="5" spans="1:46" ht="15">
      <c r="A5" s="6"/>
      <c r="B5" s="8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V5" s="6"/>
      <c r="Y5" s="6" t="s">
        <v>35</v>
      </c>
      <c r="Z5" s="8">
        <v>2</v>
      </c>
      <c r="AA5" s="6" t="s">
        <v>26</v>
      </c>
      <c r="AB5" s="6">
        <v>0</v>
      </c>
      <c r="AC5" s="6">
        <v>0</v>
      </c>
      <c r="AD5" s="6">
        <v>10</v>
      </c>
      <c r="AE5" s="6">
        <v>20</v>
      </c>
      <c r="AF5" s="6">
        <v>20</v>
      </c>
      <c r="AG5" s="6">
        <v>40</v>
      </c>
      <c r="AH5" s="6">
        <v>80</v>
      </c>
      <c r="AI5" s="6">
        <v>140</v>
      </c>
      <c r="AJ5" s="6">
        <v>144</v>
      </c>
      <c r="AK5" s="6">
        <v>88</v>
      </c>
      <c r="AL5" s="6">
        <v>48</v>
      </c>
      <c r="AM5" s="6">
        <v>16</v>
      </c>
      <c r="AN5" s="6">
        <v>0</v>
      </c>
      <c r="AO5" s="6">
        <v>0</v>
      </c>
      <c r="AP5" s="6">
        <v>0</v>
      </c>
      <c r="AQ5" s="6">
        <v>0</v>
      </c>
      <c r="AR5" s="6">
        <v>0</v>
      </c>
      <c r="AS5">
        <f t="shared" si="0"/>
        <v>1</v>
      </c>
      <c r="AT5" s="3">
        <f t="shared" si="1"/>
        <v>-36</v>
      </c>
    </row>
    <row r="6" spans="1:46" ht="15">
      <c r="A6" s="6"/>
      <c r="B6" s="8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Y6" s="6" t="s">
        <v>36</v>
      </c>
      <c r="Z6" s="8">
        <v>2</v>
      </c>
      <c r="AA6" s="6" t="s">
        <v>27</v>
      </c>
      <c r="AB6" s="6">
        <v>0</v>
      </c>
      <c r="AC6" s="6">
        <v>10</v>
      </c>
      <c r="AD6" s="6">
        <v>20</v>
      </c>
      <c r="AE6" s="6">
        <v>30</v>
      </c>
      <c r="AF6" s="6">
        <v>30</v>
      </c>
      <c r="AG6" s="6">
        <v>100</v>
      </c>
      <c r="AH6" s="6">
        <v>150</v>
      </c>
      <c r="AI6" s="6">
        <v>300</v>
      </c>
      <c r="AJ6" s="6">
        <v>250</v>
      </c>
      <c r="AK6" s="6">
        <v>150</v>
      </c>
      <c r="AL6" s="6">
        <v>100</v>
      </c>
      <c r="AM6" s="6">
        <v>30</v>
      </c>
      <c r="AN6" s="6">
        <v>10</v>
      </c>
      <c r="AO6" s="6">
        <v>0</v>
      </c>
      <c r="AP6" s="6">
        <v>0</v>
      </c>
      <c r="AQ6" s="6">
        <v>0</v>
      </c>
      <c r="AR6" s="6">
        <v>0</v>
      </c>
      <c r="AS6">
        <f t="shared" si="0"/>
        <v>1</v>
      </c>
      <c r="AT6" s="3">
        <f t="shared" si="1"/>
        <v>-36</v>
      </c>
    </row>
    <row r="7" spans="1:46" ht="15">
      <c r="A7" s="6"/>
      <c r="B7" s="8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Y7" s="6" t="s">
        <v>37</v>
      </c>
      <c r="Z7" s="8">
        <v>2</v>
      </c>
      <c r="AA7" s="6" t="s">
        <v>28</v>
      </c>
      <c r="AB7" s="6">
        <v>0</v>
      </c>
      <c r="AC7" s="6">
        <v>0</v>
      </c>
      <c r="AD7" s="6">
        <v>10</v>
      </c>
      <c r="AE7" s="6">
        <v>20</v>
      </c>
      <c r="AF7" s="6">
        <v>50</v>
      </c>
      <c r="AG7" s="6">
        <v>100</v>
      </c>
      <c r="AH7" s="6">
        <v>150</v>
      </c>
      <c r="AI7" s="6">
        <v>200</v>
      </c>
      <c r="AJ7" s="6">
        <v>200</v>
      </c>
      <c r="AK7" s="6">
        <v>150</v>
      </c>
      <c r="AL7" s="6">
        <v>100</v>
      </c>
      <c r="AM7" s="6">
        <v>40</v>
      </c>
      <c r="AN7" s="6">
        <v>0</v>
      </c>
      <c r="AO7" s="6">
        <v>0</v>
      </c>
      <c r="AP7" s="6">
        <v>0</v>
      </c>
      <c r="AQ7" s="6">
        <v>0</v>
      </c>
      <c r="AR7" s="6">
        <v>0</v>
      </c>
      <c r="AS7">
        <f t="shared" si="0"/>
        <v>1</v>
      </c>
      <c r="AT7" s="3">
        <f t="shared" si="1"/>
        <v>-36</v>
      </c>
    </row>
    <row r="8" spans="1:46" ht="15">
      <c r="A8" s="6"/>
      <c r="B8" s="8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7"/>
      <c r="V8" s="6"/>
      <c r="Y8" s="6" t="s">
        <v>38</v>
      </c>
      <c r="Z8" s="8">
        <v>3</v>
      </c>
      <c r="AA8" s="6" t="s">
        <v>24</v>
      </c>
      <c r="AB8" s="6">
        <v>0</v>
      </c>
      <c r="AC8" s="6">
        <v>0</v>
      </c>
      <c r="AD8" s="6">
        <v>10</v>
      </c>
      <c r="AE8" s="6">
        <v>10</v>
      </c>
      <c r="AF8" s="6">
        <v>30</v>
      </c>
      <c r="AG8" s="6">
        <v>40</v>
      </c>
      <c r="AH8" s="6">
        <v>70</v>
      </c>
      <c r="AI8" s="6">
        <v>136</v>
      </c>
      <c r="AJ8" s="6">
        <v>136</v>
      </c>
      <c r="AK8" s="6">
        <v>80</v>
      </c>
      <c r="AL8" s="6">
        <v>56</v>
      </c>
      <c r="AM8" s="6">
        <v>24</v>
      </c>
      <c r="AN8" s="6">
        <v>8</v>
      </c>
      <c r="AO8" s="6">
        <v>0</v>
      </c>
      <c r="AP8" s="6">
        <v>0</v>
      </c>
      <c r="AQ8" s="6">
        <v>0</v>
      </c>
      <c r="AR8" s="6">
        <v>0</v>
      </c>
      <c r="AS8">
        <f t="shared" si="0"/>
        <v>1</v>
      </c>
      <c r="AT8" s="3">
        <f t="shared" si="1"/>
        <v>-36</v>
      </c>
    </row>
    <row r="9" spans="1:46" ht="15">
      <c r="A9" s="6"/>
      <c r="B9" s="8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V9" s="6"/>
      <c r="Y9" s="6" t="s">
        <v>39</v>
      </c>
      <c r="Z9" s="8">
        <v>3</v>
      </c>
      <c r="AA9" s="6" t="s">
        <v>25</v>
      </c>
      <c r="AB9" s="6">
        <v>0</v>
      </c>
      <c r="AC9" s="6">
        <v>0</v>
      </c>
      <c r="AD9" s="6">
        <v>10</v>
      </c>
      <c r="AE9" s="6">
        <v>20</v>
      </c>
      <c r="AF9" s="6">
        <v>20</v>
      </c>
      <c r="AG9" s="6">
        <v>50</v>
      </c>
      <c r="AH9" s="6">
        <v>60</v>
      </c>
      <c r="AI9" s="6">
        <v>120</v>
      </c>
      <c r="AJ9" s="6">
        <v>152</v>
      </c>
      <c r="AK9" s="6">
        <v>96</v>
      </c>
      <c r="AL9" s="6">
        <v>56</v>
      </c>
      <c r="AM9" s="6">
        <v>16</v>
      </c>
      <c r="AN9" s="6">
        <v>0</v>
      </c>
      <c r="AO9" s="6">
        <v>0</v>
      </c>
      <c r="AP9" s="6">
        <v>0</v>
      </c>
      <c r="AQ9" s="6">
        <v>0</v>
      </c>
      <c r="AR9" s="6">
        <v>0</v>
      </c>
      <c r="AS9">
        <f t="shared" si="0"/>
        <v>1</v>
      </c>
      <c r="AT9" s="3">
        <f t="shared" si="1"/>
        <v>-36</v>
      </c>
    </row>
    <row r="10" spans="1:46" ht="15">
      <c r="A10" s="6"/>
      <c r="B10" s="8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V10" s="6"/>
      <c r="Y10" s="6" t="s">
        <v>40</v>
      </c>
      <c r="Z10" s="8">
        <v>3</v>
      </c>
      <c r="AA10" s="6" t="s">
        <v>41</v>
      </c>
      <c r="AB10" s="6">
        <v>0</v>
      </c>
      <c r="AC10" s="6">
        <v>10</v>
      </c>
      <c r="AD10" s="6">
        <v>30</v>
      </c>
      <c r="AE10" s="6">
        <v>40</v>
      </c>
      <c r="AF10" s="6">
        <v>50</v>
      </c>
      <c r="AG10" s="6">
        <v>200</v>
      </c>
      <c r="AH10" s="6">
        <v>400</v>
      </c>
      <c r="AI10" s="6">
        <v>500</v>
      </c>
      <c r="AJ10" s="6">
        <v>500</v>
      </c>
      <c r="AK10" s="6">
        <v>300</v>
      </c>
      <c r="AL10" s="6">
        <v>100</v>
      </c>
      <c r="AM10" s="6">
        <v>50</v>
      </c>
      <c r="AN10" s="6">
        <v>10</v>
      </c>
      <c r="AO10" s="6">
        <v>0</v>
      </c>
      <c r="AP10" s="6">
        <v>0</v>
      </c>
      <c r="AQ10" s="6">
        <v>0</v>
      </c>
      <c r="AR10" s="6">
        <v>0</v>
      </c>
      <c r="AS10">
        <f t="shared" si="0"/>
        <v>1</v>
      </c>
      <c r="AT10" s="3">
        <f t="shared" si="1"/>
        <v>-36</v>
      </c>
    </row>
    <row r="11" spans="1:46" ht="15">
      <c r="A11" s="7"/>
      <c r="B11" s="9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V11" s="7"/>
      <c r="Y11" s="6" t="s">
        <v>42</v>
      </c>
      <c r="Z11" s="8">
        <v>3</v>
      </c>
      <c r="AA11" s="6" t="s">
        <v>43</v>
      </c>
      <c r="AB11" s="6">
        <v>0</v>
      </c>
      <c r="AC11" s="6">
        <v>0</v>
      </c>
      <c r="AD11" s="6">
        <v>0</v>
      </c>
      <c r="AE11" s="6">
        <v>10</v>
      </c>
      <c r="AF11" s="6">
        <v>20</v>
      </c>
      <c r="AG11" s="6">
        <v>150</v>
      </c>
      <c r="AH11" s="6">
        <v>200</v>
      </c>
      <c r="AI11" s="6">
        <v>300</v>
      </c>
      <c r="AJ11" s="6">
        <v>400</v>
      </c>
      <c r="AK11" s="6">
        <v>150</v>
      </c>
      <c r="AL11" s="6">
        <v>100</v>
      </c>
      <c r="AM11" s="6">
        <v>50</v>
      </c>
      <c r="AN11" s="6">
        <v>0</v>
      </c>
      <c r="AO11" s="6">
        <v>0</v>
      </c>
      <c r="AP11" s="6">
        <v>0</v>
      </c>
      <c r="AQ11" s="6">
        <v>0</v>
      </c>
      <c r="AR11" s="6">
        <v>0</v>
      </c>
      <c r="AS11">
        <f t="shared" si="0"/>
        <v>1</v>
      </c>
      <c r="AT11" s="3">
        <f t="shared" si="1"/>
        <v>-36</v>
      </c>
    </row>
    <row r="12" spans="1:46" ht="15">
      <c r="A12" s="7"/>
      <c r="B12" s="9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V12" s="7"/>
      <c r="Y12" s="7" t="s">
        <v>44</v>
      </c>
      <c r="Z12" s="9">
        <v>4</v>
      </c>
      <c r="AA12" s="7" t="s">
        <v>29</v>
      </c>
      <c r="AB12" s="7">
        <v>0</v>
      </c>
      <c r="AC12" s="7">
        <v>10</v>
      </c>
      <c r="AD12" s="7">
        <v>20</v>
      </c>
      <c r="AE12" s="7">
        <v>30</v>
      </c>
      <c r="AF12" s="7">
        <v>75</v>
      </c>
      <c r="AG12" s="7">
        <v>185</v>
      </c>
      <c r="AH12" s="7">
        <v>285</v>
      </c>
      <c r="AI12" s="7">
        <v>380</v>
      </c>
      <c r="AJ12" s="7">
        <v>335</v>
      </c>
      <c r="AK12" s="7">
        <v>210</v>
      </c>
      <c r="AL12" s="7">
        <v>100</v>
      </c>
      <c r="AM12" s="7">
        <v>50</v>
      </c>
      <c r="AN12" s="7">
        <v>20</v>
      </c>
      <c r="AO12" s="7">
        <v>0</v>
      </c>
      <c r="AP12" s="7">
        <v>0</v>
      </c>
      <c r="AQ12" s="7">
        <v>0</v>
      </c>
      <c r="AR12" s="7">
        <v>0</v>
      </c>
      <c r="AS12">
        <f t="shared" si="0"/>
        <v>1</v>
      </c>
      <c r="AT12" s="3">
        <f t="shared" si="1"/>
        <v>-36</v>
      </c>
    </row>
    <row r="13" spans="1:46" ht="15">
      <c r="A13" s="7"/>
      <c r="B13" s="9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V13" s="7"/>
      <c r="Y13" s="7" t="s">
        <v>45</v>
      </c>
      <c r="Z13" s="9">
        <v>4</v>
      </c>
      <c r="AA13" s="7" t="s">
        <v>30</v>
      </c>
      <c r="AB13" s="7">
        <v>0</v>
      </c>
      <c r="AC13" s="7">
        <v>10</v>
      </c>
      <c r="AD13" s="7">
        <v>15</v>
      </c>
      <c r="AE13" s="7">
        <v>25</v>
      </c>
      <c r="AF13" s="7">
        <v>55</v>
      </c>
      <c r="AG13" s="7">
        <v>115</v>
      </c>
      <c r="AH13" s="7">
        <v>170</v>
      </c>
      <c r="AI13" s="7">
        <v>220</v>
      </c>
      <c r="AJ13" s="7">
        <v>185</v>
      </c>
      <c r="AK13" s="7">
        <v>115</v>
      </c>
      <c r="AL13" s="7">
        <v>60</v>
      </c>
      <c r="AM13" s="7">
        <v>25</v>
      </c>
      <c r="AN13" s="7">
        <v>10</v>
      </c>
      <c r="AO13" s="7">
        <v>5</v>
      </c>
      <c r="AP13" s="7">
        <v>0</v>
      </c>
      <c r="AQ13" s="7">
        <v>0</v>
      </c>
      <c r="AR13" s="7">
        <v>0</v>
      </c>
      <c r="AS13">
        <f t="shared" si="0"/>
        <v>1</v>
      </c>
      <c r="AT13" s="3">
        <f t="shared" si="1"/>
        <v>-36</v>
      </c>
    </row>
    <row r="14" spans="1:46" ht="15">
      <c r="A14" s="6"/>
      <c r="B14" s="8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V14" s="6"/>
      <c r="Y14" s="7" t="s">
        <v>46</v>
      </c>
      <c r="Z14" s="9">
        <v>4</v>
      </c>
      <c r="AA14" s="7" t="s">
        <v>31</v>
      </c>
      <c r="AB14" s="7">
        <v>0</v>
      </c>
      <c r="AC14" s="7">
        <v>5</v>
      </c>
      <c r="AD14" s="7">
        <v>10</v>
      </c>
      <c r="AE14" s="7">
        <v>30</v>
      </c>
      <c r="AF14" s="7">
        <v>115</v>
      </c>
      <c r="AG14" s="7">
        <v>255</v>
      </c>
      <c r="AH14" s="7">
        <v>415</v>
      </c>
      <c r="AI14" s="7">
        <v>550</v>
      </c>
      <c r="AJ14" s="7">
        <v>425</v>
      </c>
      <c r="AK14" s="7">
        <v>250</v>
      </c>
      <c r="AL14" s="7">
        <v>90</v>
      </c>
      <c r="AM14" s="7">
        <v>50</v>
      </c>
      <c r="AN14" s="7">
        <v>15</v>
      </c>
      <c r="AO14" s="7">
        <v>0</v>
      </c>
      <c r="AP14" s="7">
        <v>0</v>
      </c>
      <c r="AQ14" s="7">
        <v>0</v>
      </c>
      <c r="AR14" s="7">
        <v>0</v>
      </c>
      <c r="AS14">
        <f t="shared" si="0"/>
        <v>1</v>
      </c>
      <c r="AT14" s="3">
        <f t="shared" si="1"/>
        <v>-36</v>
      </c>
    </row>
    <row r="15" spans="1:46" ht="15">
      <c r="A15" s="6"/>
      <c r="B15" s="8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V15" s="6"/>
      <c r="Y15" s="6" t="s">
        <v>47</v>
      </c>
      <c r="Z15" s="8">
        <v>5</v>
      </c>
      <c r="AA15" s="6" t="s">
        <v>24</v>
      </c>
      <c r="AB15" s="6">
        <v>0</v>
      </c>
      <c r="AC15" s="6">
        <v>10</v>
      </c>
      <c r="AD15" s="6">
        <v>10</v>
      </c>
      <c r="AE15" s="6">
        <v>10</v>
      </c>
      <c r="AF15" s="6">
        <v>20</v>
      </c>
      <c r="AG15" s="6">
        <v>40</v>
      </c>
      <c r="AH15" s="6">
        <v>70</v>
      </c>
      <c r="AI15" s="6">
        <v>144</v>
      </c>
      <c r="AJ15" s="6">
        <v>136</v>
      </c>
      <c r="AK15" s="6">
        <v>88</v>
      </c>
      <c r="AL15" s="6">
        <v>48</v>
      </c>
      <c r="AM15" s="6">
        <v>16</v>
      </c>
      <c r="AN15" s="6">
        <v>8</v>
      </c>
      <c r="AO15" s="6">
        <v>0</v>
      </c>
      <c r="AP15" s="6">
        <v>0</v>
      </c>
      <c r="AQ15" s="6">
        <v>0</v>
      </c>
      <c r="AR15" s="6">
        <v>0</v>
      </c>
      <c r="AS15">
        <f t="shared" si="0"/>
        <v>1</v>
      </c>
      <c r="AT15" s="3">
        <f t="shared" si="1"/>
        <v>-36</v>
      </c>
    </row>
    <row r="16" spans="1:46" ht="15">
      <c r="A16" s="6"/>
      <c r="B16" s="8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Y16" s="6" t="s">
        <v>48</v>
      </c>
      <c r="Z16" s="8">
        <v>5</v>
      </c>
      <c r="AA16" s="6" t="s">
        <v>49</v>
      </c>
      <c r="AB16" s="6">
        <v>0</v>
      </c>
      <c r="AC16" s="6">
        <v>0</v>
      </c>
      <c r="AD16" s="6">
        <v>20</v>
      </c>
      <c r="AE16" s="6">
        <v>50</v>
      </c>
      <c r="AF16" s="6">
        <v>150</v>
      </c>
      <c r="AG16" s="6">
        <v>400</v>
      </c>
      <c r="AH16" s="6">
        <v>500</v>
      </c>
      <c r="AI16" s="6">
        <v>800</v>
      </c>
      <c r="AJ16" s="6">
        <v>600</v>
      </c>
      <c r="AK16" s="6">
        <v>400</v>
      </c>
      <c r="AL16" s="6">
        <v>250</v>
      </c>
      <c r="AM16" s="6">
        <v>100</v>
      </c>
      <c r="AN16" s="6">
        <v>30</v>
      </c>
      <c r="AO16" s="6">
        <v>0</v>
      </c>
      <c r="AP16" s="6">
        <v>0</v>
      </c>
      <c r="AQ16" s="6">
        <v>0</v>
      </c>
      <c r="AR16" s="6">
        <v>0</v>
      </c>
      <c r="AS16">
        <f t="shared" si="0"/>
        <v>1</v>
      </c>
      <c r="AT16" s="3">
        <f t="shared" si="1"/>
        <v>-36</v>
      </c>
    </row>
    <row r="17" spans="1:46" ht="15">
      <c r="A17" s="6"/>
      <c r="B17" s="8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Y17" s="6" t="s">
        <v>50</v>
      </c>
      <c r="Z17" s="8">
        <v>6</v>
      </c>
      <c r="AA17" s="6" t="s">
        <v>22</v>
      </c>
      <c r="AB17" s="6">
        <v>0</v>
      </c>
      <c r="AC17" s="6">
        <v>10</v>
      </c>
      <c r="AD17" s="6">
        <v>20</v>
      </c>
      <c r="AE17" s="6">
        <v>20</v>
      </c>
      <c r="AF17" s="6">
        <v>30</v>
      </c>
      <c r="AG17" s="6">
        <v>50</v>
      </c>
      <c r="AH17" s="6">
        <v>90</v>
      </c>
      <c r="AI17" s="6">
        <v>170</v>
      </c>
      <c r="AJ17" s="6">
        <v>170</v>
      </c>
      <c r="AK17" s="6">
        <v>120</v>
      </c>
      <c r="AL17" s="6">
        <v>70</v>
      </c>
      <c r="AM17" s="6">
        <v>30</v>
      </c>
      <c r="AN17" s="6">
        <v>20</v>
      </c>
      <c r="AO17" s="6">
        <v>0</v>
      </c>
      <c r="AP17" s="6">
        <v>0</v>
      </c>
      <c r="AQ17" s="6">
        <v>0</v>
      </c>
      <c r="AR17" s="6">
        <v>0</v>
      </c>
      <c r="AS17">
        <f t="shared" si="0"/>
        <v>1</v>
      </c>
      <c r="AT17" s="3">
        <f t="shared" si="1"/>
        <v>-36</v>
      </c>
    </row>
  </sheetData>
  <sortState xmlns:xlrd2="http://schemas.microsoft.com/office/spreadsheetml/2017/richdata2" ref="V2:V17">
    <sortCondition ref="V2:V17"/>
  </sortState>
  <conditionalFormatting sqref="C18:C1048576">
    <cfRule type="uniqueValues" dxfId="2" priority="4"/>
  </conditionalFormatting>
  <conditionalFormatting sqref="V1">
    <cfRule type="uniqueValues" dxfId="1" priority="23"/>
  </conditionalFormatting>
  <conditionalFormatting sqref="V2:V14">
    <cfRule type="uniqueValues" dxfId="0" priority="26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ados">
                <anchor moveWithCells="1" sizeWithCells="1">
                  <from>
                    <xdr:col>23</xdr:col>
                    <xdr:colOff>114300</xdr:colOff>
                    <xdr:row>19</xdr:row>
                    <xdr:rowOff>104775</xdr:rowOff>
                  </from>
                  <to>
                    <xdr:col>24</xdr:col>
                    <xdr:colOff>257175</xdr:colOff>
                    <xdr:row>23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DB9F-0D0F-478E-98AD-C1128DC21779}">
  <sheetPr codeName="Folha1"/>
  <dimension ref="A1:U392"/>
  <sheetViews>
    <sheetView workbookViewId="0">
      <selection activeCell="K13" sqref="K13:K14"/>
    </sheetView>
  </sheetViews>
  <sheetFormatPr defaultRowHeight="15"/>
  <cols>
    <col min="1" max="1" width="15.28515625" style="12" bestFit="1" customWidth="1"/>
    <col min="2" max="4" width="9.140625" style="12"/>
    <col min="6" max="6" width="9.140625" style="12"/>
    <col min="7" max="9" width="9.140625" style="10"/>
    <col min="11" max="11" width="12" style="10" customWidth="1"/>
    <col min="12" max="12" width="15.28515625" style="10" bestFit="1" customWidth="1"/>
    <col min="15" max="16" width="15.28515625" style="13" bestFit="1" customWidth="1"/>
    <col min="17" max="17" width="9.140625" style="13"/>
    <col min="20" max="20" width="15.28515625" style="14" bestFit="1" customWidth="1"/>
    <col min="21" max="21" width="9.140625" style="14"/>
  </cols>
  <sheetData>
    <row r="1" spans="1:21">
      <c r="A1" s="12" t="s">
        <v>0</v>
      </c>
      <c r="B1" s="12" t="s">
        <v>4</v>
      </c>
      <c r="C1" s="12" t="s">
        <v>3</v>
      </c>
      <c r="D1" s="12" t="s">
        <v>10</v>
      </c>
      <c r="F1" s="12" t="s">
        <v>21</v>
      </c>
      <c r="G1" s="10" t="s">
        <v>1</v>
      </c>
      <c r="H1" s="10" t="s">
        <v>6</v>
      </c>
      <c r="I1" s="10" t="s">
        <v>64</v>
      </c>
      <c r="K1" s="10" t="s">
        <v>7</v>
      </c>
      <c r="L1" s="10" t="s">
        <v>17</v>
      </c>
      <c r="O1" s="13" t="s">
        <v>8</v>
      </c>
      <c r="P1" s="13" t="s">
        <v>0</v>
      </c>
      <c r="Q1" s="13" t="s">
        <v>9</v>
      </c>
      <c r="T1" s="14" t="s">
        <v>8</v>
      </c>
      <c r="U1" s="14" t="s">
        <v>5</v>
      </c>
    </row>
    <row r="2" spans="1:21">
      <c r="A2" s="12" t="s">
        <v>158</v>
      </c>
      <c r="B2">
        <v>40</v>
      </c>
      <c r="C2">
        <v>3</v>
      </c>
      <c r="D2">
        <v>6</v>
      </c>
      <c r="F2" s="12">
        <v>106027</v>
      </c>
      <c r="G2" s="10">
        <v>1</v>
      </c>
      <c r="H2" s="10">
        <v>200000</v>
      </c>
      <c r="I2" s="10">
        <v>85680</v>
      </c>
      <c r="K2" s="10">
        <v>0</v>
      </c>
      <c r="L2" s="10">
        <v>0</v>
      </c>
      <c r="O2" s="13" t="s">
        <v>175</v>
      </c>
      <c r="P2" s="13" t="s">
        <v>158</v>
      </c>
      <c r="Q2" s="13">
        <v>1</v>
      </c>
      <c r="T2" s="14" t="s">
        <v>192</v>
      </c>
      <c r="U2" s="14">
        <v>600</v>
      </c>
    </row>
    <row r="3" spans="1:21">
      <c r="A3" s="12" t="s">
        <v>159</v>
      </c>
      <c r="B3">
        <v>40</v>
      </c>
      <c r="C3">
        <v>3</v>
      </c>
      <c r="D3">
        <v>6</v>
      </c>
      <c r="F3" s="12">
        <v>117926</v>
      </c>
      <c r="G3" s="10">
        <v>2</v>
      </c>
      <c r="H3" s="10">
        <v>200000</v>
      </c>
      <c r="I3" s="10">
        <v>85680</v>
      </c>
      <c r="K3" s="10">
        <v>1</v>
      </c>
      <c r="L3" s="10">
        <v>1</v>
      </c>
      <c r="O3" s="13" t="s">
        <v>176</v>
      </c>
      <c r="P3" s="13" t="s">
        <v>159</v>
      </c>
      <c r="Q3" s="13">
        <v>1</v>
      </c>
      <c r="T3" s="14" t="s">
        <v>193</v>
      </c>
      <c r="U3" s="14">
        <v>600</v>
      </c>
    </row>
    <row r="4" spans="1:21">
      <c r="A4" s="12" t="s">
        <v>160</v>
      </c>
      <c r="B4">
        <v>40</v>
      </c>
      <c r="C4">
        <v>3</v>
      </c>
      <c r="D4">
        <v>6</v>
      </c>
      <c r="G4" s="10">
        <v>3</v>
      </c>
      <c r="H4" s="10">
        <v>200000</v>
      </c>
      <c r="I4" s="10">
        <v>85680</v>
      </c>
      <c r="K4" s="10">
        <v>2</v>
      </c>
      <c r="L4" s="10">
        <v>2</v>
      </c>
      <c r="O4" s="13" t="s">
        <v>177</v>
      </c>
      <c r="P4" s="13" t="s">
        <v>160</v>
      </c>
      <c r="Q4" s="13">
        <v>1</v>
      </c>
      <c r="T4" s="14" t="s">
        <v>194</v>
      </c>
      <c r="U4" s="14">
        <v>600</v>
      </c>
    </row>
    <row r="5" spans="1:21">
      <c r="A5" s="12" t="s">
        <v>161</v>
      </c>
      <c r="B5">
        <v>40</v>
      </c>
      <c r="C5">
        <v>3</v>
      </c>
      <c r="D5">
        <v>6</v>
      </c>
      <c r="G5" s="10">
        <v>4</v>
      </c>
      <c r="H5" s="10">
        <v>200000</v>
      </c>
      <c r="I5" s="10">
        <v>85680</v>
      </c>
      <c r="K5" s="10">
        <v>3</v>
      </c>
      <c r="L5" s="10">
        <v>3</v>
      </c>
      <c r="O5" s="13" t="s">
        <v>178</v>
      </c>
      <c r="P5" s="13" t="s">
        <v>161</v>
      </c>
      <c r="Q5" s="13">
        <v>1</v>
      </c>
      <c r="T5" s="14" t="s">
        <v>195</v>
      </c>
      <c r="U5" s="14">
        <v>600</v>
      </c>
    </row>
    <row r="6" spans="1:21">
      <c r="A6" s="12" t="s">
        <v>162</v>
      </c>
      <c r="B6">
        <v>40</v>
      </c>
      <c r="C6">
        <v>3</v>
      </c>
      <c r="D6">
        <v>6</v>
      </c>
      <c r="G6" s="10">
        <v>5</v>
      </c>
      <c r="H6" s="10">
        <v>200000</v>
      </c>
      <c r="I6" s="10">
        <v>85680</v>
      </c>
      <c r="K6" s="10">
        <v>4</v>
      </c>
      <c r="L6" s="10">
        <v>4</v>
      </c>
      <c r="O6" s="13" t="s">
        <v>179</v>
      </c>
      <c r="P6" s="13" t="s">
        <v>162</v>
      </c>
      <c r="Q6" s="13">
        <v>1</v>
      </c>
      <c r="T6" s="14" t="s">
        <v>196</v>
      </c>
      <c r="U6" s="14">
        <v>600</v>
      </c>
    </row>
    <row r="7" spans="1:21">
      <c r="A7" s="12" t="s">
        <v>163</v>
      </c>
      <c r="B7">
        <v>40</v>
      </c>
      <c r="C7">
        <v>3</v>
      </c>
      <c r="D7">
        <v>6</v>
      </c>
      <c r="G7" s="10">
        <v>6</v>
      </c>
      <c r="H7" s="10">
        <v>200000</v>
      </c>
      <c r="I7" s="10">
        <v>85680</v>
      </c>
      <c r="K7" s="10">
        <v>5</v>
      </c>
      <c r="L7" s="10">
        <v>5</v>
      </c>
      <c r="O7" s="13" t="s">
        <v>180</v>
      </c>
      <c r="P7" s="13" t="s">
        <v>163</v>
      </c>
      <c r="Q7" s="13">
        <v>1</v>
      </c>
      <c r="T7" s="14" t="s">
        <v>197</v>
      </c>
      <c r="U7" s="14">
        <v>600</v>
      </c>
    </row>
    <row r="8" spans="1:21">
      <c r="A8" s="12" t="s">
        <v>164</v>
      </c>
      <c r="B8">
        <v>40</v>
      </c>
      <c r="C8">
        <v>3</v>
      </c>
      <c r="D8">
        <v>6</v>
      </c>
      <c r="K8" s="10">
        <v>6</v>
      </c>
      <c r="L8" s="10">
        <v>6</v>
      </c>
      <c r="O8" s="13" t="s">
        <v>181</v>
      </c>
      <c r="P8" s="13" t="s">
        <v>164</v>
      </c>
      <c r="Q8" s="13">
        <v>1</v>
      </c>
      <c r="T8" s="14" t="s">
        <v>198</v>
      </c>
      <c r="U8" s="14">
        <v>600</v>
      </c>
    </row>
    <row r="9" spans="1:21">
      <c r="A9" s="12" t="s">
        <v>165</v>
      </c>
      <c r="B9">
        <v>40</v>
      </c>
      <c r="C9">
        <v>3</v>
      </c>
      <c r="D9">
        <v>6</v>
      </c>
      <c r="L9" s="10">
        <v>7</v>
      </c>
      <c r="O9" s="13" t="s">
        <v>182</v>
      </c>
      <c r="P9" s="13" t="s">
        <v>165</v>
      </c>
      <c r="Q9" s="13">
        <v>1</v>
      </c>
      <c r="T9" s="14" t="s">
        <v>199</v>
      </c>
      <c r="U9" s="14">
        <v>600</v>
      </c>
    </row>
    <row r="10" spans="1:21">
      <c r="A10" s="12" t="s">
        <v>166</v>
      </c>
      <c r="B10">
        <v>40</v>
      </c>
      <c r="C10">
        <v>3</v>
      </c>
      <c r="D10">
        <v>6</v>
      </c>
      <c r="O10" s="13" t="s">
        <v>183</v>
      </c>
      <c r="P10" s="13" t="s">
        <v>166</v>
      </c>
      <c r="Q10" s="13">
        <v>1</v>
      </c>
      <c r="T10" s="14" t="s">
        <v>200</v>
      </c>
      <c r="U10" s="14">
        <v>600</v>
      </c>
    </row>
    <row r="11" spans="1:21">
      <c r="A11" s="12" t="s">
        <v>167</v>
      </c>
      <c r="B11">
        <v>40</v>
      </c>
      <c r="C11">
        <v>3</v>
      </c>
      <c r="D11">
        <v>6</v>
      </c>
      <c r="O11" s="13" t="s">
        <v>184</v>
      </c>
      <c r="P11" s="13" t="s">
        <v>167</v>
      </c>
      <c r="Q11" s="13">
        <v>1</v>
      </c>
      <c r="T11" s="14" t="s">
        <v>201</v>
      </c>
      <c r="U11" s="14">
        <v>600</v>
      </c>
    </row>
    <row r="12" spans="1:21">
      <c r="A12" s="12" t="s">
        <v>168</v>
      </c>
      <c r="B12">
        <v>40</v>
      </c>
      <c r="C12">
        <v>3</v>
      </c>
      <c r="D12">
        <v>6</v>
      </c>
      <c r="O12" s="13" t="s">
        <v>185</v>
      </c>
      <c r="P12" s="13" t="s">
        <v>168</v>
      </c>
      <c r="Q12" s="13">
        <v>1</v>
      </c>
      <c r="T12" s="14" t="s">
        <v>202</v>
      </c>
      <c r="U12" s="14">
        <v>600</v>
      </c>
    </row>
    <row r="13" spans="1:21">
      <c r="A13" s="12" t="s">
        <v>169</v>
      </c>
      <c r="B13">
        <v>40</v>
      </c>
      <c r="C13">
        <v>3</v>
      </c>
      <c r="D13">
        <v>6</v>
      </c>
      <c r="O13" s="13" t="s">
        <v>186</v>
      </c>
      <c r="P13" s="13" t="s">
        <v>169</v>
      </c>
      <c r="Q13" s="13">
        <v>1</v>
      </c>
      <c r="T13" s="14" t="s">
        <v>203</v>
      </c>
      <c r="U13" s="14">
        <v>600</v>
      </c>
    </row>
    <row r="14" spans="1:21">
      <c r="A14" s="12" t="s">
        <v>170</v>
      </c>
      <c r="B14">
        <v>40</v>
      </c>
      <c r="C14">
        <v>3</v>
      </c>
      <c r="D14">
        <v>6</v>
      </c>
      <c r="O14" s="13" t="s">
        <v>187</v>
      </c>
      <c r="P14" s="13" t="s">
        <v>170</v>
      </c>
      <c r="Q14" s="13">
        <v>1</v>
      </c>
      <c r="T14" s="14" t="s">
        <v>204</v>
      </c>
      <c r="U14" s="14">
        <v>600</v>
      </c>
    </row>
    <row r="15" spans="1:21">
      <c r="A15" s="12" t="s">
        <v>171</v>
      </c>
      <c r="B15">
        <v>40</v>
      </c>
      <c r="C15">
        <v>3</v>
      </c>
      <c r="D15">
        <v>6</v>
      </c>
      <c r="O15" s="13" t="s">
        <v>188</v>
      </c>
      <c r="P15" s="13" t="s">
        <v>171</v>
      </c>
      <c r="Q15" s="13">
        <v>1</v>
      </c>
      <c r="T15" s="14" t="s">
        <v>205</v>
      </c>
      <c r="U15" s="14">
        <v>600</v>
      </c>
    </row>
    <row r="16" spans="1:21">
      <c r="A16" s="12" t="s">
        <v>172</v>
      </c>
      <c r="B16">
        <v>40</v>
      </c>
      <c r="C16">
        <v>3</v>
      </c>
      <c r="D16">
        <v>6</v>
      </c>
      <c r="O16" s="13" t="s">
        <v>189</v>
      </c>
      <c r="P16" s="13" t="s">
        <v>172</v>
      </c>
      <c r="Q16" s="13">
        <v>1</v>
      </c>
      <c r="T16" s="14" t="s">
        <v>206</v>
      </c>
      <c r="U16" s="14">
        <v>600</v>
      </c>
    </row>
    <row r="17" spans="1:21">
      <c r="A17" s="12" t="s">
        <v>173</v>
      </c>
      <c r="B17">
        <v>40</v>
      </c>
      <c r="C17">
        <v>3</v>
      </c>
      <c r="D17">
        <v>6</v>
      </c>
      <c r="O17" s="13" t="s">
        <v>190</v>
      </c>
      <c r="P17" s="13" t="s">
        <v>173</v>
      </c>
      <c r="Q17" s="13">
        <v>1</v>
      </c>
      <c r="T17" s="14" t="s">
        <v>207</v>
      </c>
      <c r="U17" s="14">
        <v>600</v>
      </c>
    </row>
    <row r="18" spans="1:21">
      <c r="A18" s="12" t="s">
        <v>174</v>
      </c>
      <c r="B18">
        <v>40</v>
      </c>
      <c r="C18">
        <v>3</v>
      </c>
      <c r="D18">
        <v>6</v>
      </c>
      <c r="O18" s="13" t="s">
        <v>191</v>
      </c>
      <c r="P18" s="13" t="s">
        <v>174</v>
      </c>
      <c r="Q18" s="13">
        <v>1</v>
      </c>
      <c r="T18" s="14" t="s">
        <v>208</v>
      </c>
      <c r="U18" s="14">
        <v>600</v>
      </c>
    </row>
    <row r="19" spans="1:21">
      <c r="A19" s="12" t="s">
        <v>263</v>
      </c>
      <c r="B19">
        <v>40</v>
      </c>
      <c r="C19">
        <v>3</v>
      </c>
      <c r="D19">
        <v>6</v>
      </c>
      <c r="O19" s="13" t="s">
        <v>175</v>
      </c>
      <c r="P19" s="13" t="s">
        <v>263</v>
      </c>
      <c r="Q19" s="13">
        <v>1</v>
      </c>
      <c r="T19" s="14" t="s">
        <v>175</v>
      </c>
      <c r="U19" s="14">
        <v>600</v>
      </c>
    </row>
    <row r="20" spans="1:21">
      <c r="A20" s="12" t="s">
        <v>264</v>
      </c>
      <c r="B20">
        <v>40</v>
      </c>
      <c r="C20">
        <v>3</v>
      </c>
      <c r="D20">
        <v>6</v>
      </c>
      <c r="O20" s="13" t="s">
        <v>176</v>
      </c>
      <c r="P20" s="13" t="s">
        <v>264</v>
      </c>
      <c r="Q20" s="13">
        <v>1</v>
      </c>
      <c r="T20" s="14" t="s">
        <v>176</v>
      </c>
      <c r="U20" s="14">
        <v>600</v>
      </c>
    </row>
    <row r="21" spans="1:21">
      <c r="A21" s="12" t="s">
        <v>265</v>
      </c>
      <c r="B21">
        <v>40</v>
      </c>
      <c r="C21">
        <v>3</v>
      </c>
      <c r="D21">
        <v>6</v>
      </c>
      <c r="O21" s="13" t="s">
        <v>177</v>
      </c>
      <c r="P21" s="13" t="s">
        <v>265</v>
      </c>
      <c r="Q21" s="13">
        <v>1</v>
      </c>
      <c r="T21" s="14" t="s">
        <v>177</v>
      </c>
      <c r="U21" s="14">
        <v>600</v>
      </c>
    </row>
    <row r="22" spans="1:21">
      <c r="A22" s="12" t="s">
        <v>266</v>
      </c>
      <c r="B22">
        <v>40</v>
      </c>
      <c r="C22">
        <v>3</v>
      </c>
      <c r="D22">
        <v>6</v>
      </c>
      <c r="O22" s="13" t="s">
        <v>178</v>
      </c>
      <c r="P22" s="13" t="s">
        <v>266</v>
      </c>
      <c r="Q22" s="13">
        <v>1</v>
      </c>
      <c r="T22" s="14" t="s">
        <v>178</v>
      </c>
      <c r="U22" s="14">
        <v>600</v>
      </c>
    </row>
    <row r="23" spans="1:21">
      <c r="A23" s="12" t="s">
        <v>267</v>
      </c>
      <c r="B23">
        <v>40</v>
      </c>
      <c r="C23">
        <v>3</v>
      </c>
      <c r="D23">
        <v>6</v>
      </c>
      <c r="O23" s="13" t="s">
        <v>179</v>
      </c>
      <c r="P23" s="13" t="s">
        <v>267</v>
      </c>
      <c r="Q23" s="13">
        <v>1</v>
      </c>
      <c r="T23" s="14" t="s">
        <v>179</v>
      </c>
      <c r="U23" s="14">
        <v>600</v>
      </c>
    </row>
    <row r="24" spans="1:21">
      <c r="A24" s="12" t="s">
        <v>268</v>
      </c>
      <c r="B24">
        <v>40</v>
      </c>
      <c r="C24">
        <v>3</v>
      </c>
      <c r="D24">
        <v>6</v>
      </c>
      <c r="O24" s="13" t="s">
        <v>180</v>
      </c>
      <c r="P24" s="13" t="s">
        <v>268</v>
      </c>
      <c r="Q24" s="13">
        <v>1</v>
      </c>
      <c r="T24" s="14" t="s">
        <v>180</v>
      </c>
      <c r="U24" s="14">
        <v>600</v>
      </c>
    </row>
    <row r="25" spans="1:21">
      <c r="A25" s="12" t="s">
        <v>269</v>
      </c>
      <c r="B25">
        <v>40</v>
      </c>
      <c r="C25">
        <v>3</v>
      </c>
      <c r="D25">
        <v>6</v>
      </c>
      <c r="O25" s="13" t="s">
        <v>181</v>
      </c>
      <c r="P25" s="13" t="s">
        <v>269</v>
      </c>
      <c r="Q25" s="13">
        <v>1</v>
      </c>
      <c r="T25" s="14" t="s">
        <v>181</v>
      </c>
      <c r="U25" s="14">
        <v>600</v>
      </c>
    </row>
    <row r="26" spans="1:21">
      <c r="A26" s="12" t="s">
        <v>270</v>
      </c>
      <c r="B26">
        <v>40</v>
      </c>
      <c r="C26">
        <v>3</v>
      </c>
      <c r="D26">
        <v>6</v>
      </c>
      <c r="O26" s="13" t="s">
        <v>182</v>
      </c>
      <c r="P26" s="13" t="s">
        <v>270</v>
      </c>
      <c r="Q26" s="13">
        <v>1</v>
      </c>
      <c r="T26" s="14" t="s">
        <v>182</v>
      </c>
      <c r="U26" s="14">
        <v>600</v>
      </c>
    </row>
    <row r="27" spans="1:21">
      <c r="A27" s="12" t="s">
        <v>271</v>
      </c>
      <c r="B27">
        <v>40</v>
      </c>
      <c r="C27">
        <v>3</v>
      </c>
      <c r="D27">
        <v>6</v>
      </c>
      <c r="O27" s="13" t="s">
        <v>183</v>
      </c>
      <c r="P27" s="13" t="s">
        <v>271</v>
      </c>
      <c r="Q27" s="13">
        <v>1</v>
      </c>
      <c r="T27" s="14" t="s">
        <v>183</v>
      </c>
      <c r="U27" s="14">
        <v>600</v>
      </c>
    </row>
    <row r="28" spans="1:21">
      <c r="A28" s="12" t="s">
        <v>272</v>
      </c>
      <c r="B28">
        <v>40</v>
      </c>
      <c r="C28">
        <v>3</v>
      </c>
      <c r="D28">
        <v>6</v>
      </c>
      <c r="O28" s="13" t="s">
        <v>184</v>
      </c>
      <c r="P28" s="13" t="s">
        <v>272</v>
      </c>
      <c r="Q28" s="13">
        <v>1</v>
      </c>
      <c r="T28" s="14" t="s">
        <v>184</v>
      </c>
      <c r="U28" s="14">
        <v>600</v>
      </c>
    </row>
    <row r="29" spans="1:21">
      <c r="A29" s="12" t="s">
        <v>273</v>
      </c>
      <c r="B29">
        <v>40</v>
      </c>
      <c r="C29">
        <v>3</v>
      </c>
      <c r="D29">
        <v>6</v>
      </c>
      <c r="O29" s="13" t="s">
        <v>185</v>
      </c>
      <c r="P29" s="13" t="s">
        <v>273</v>
      </c>
      <c r="Q29" s="13">
        <v>1</v>
      </c>
      <c r="T29" s="14" t="s">
        <v>185</v>
      </c>
      <c r="U29" s="14">
        <v>600</v>
      </c>
    </row>
    <row r="30" spans="1:21">
      <c r="A30" s="12" t="s">
        <v>274</v>
      </c>
      <c r="B30">
        <v>40</v>
      </c>
      <c r="C30">
        <v>3</v>
      </c>
      <c r="D30">
        <v>6</v>
      </c>
      <c r="O30" s="13" t="s">
        <v>186</v>
      </c>
      <c r="P30" s="13" t="s">
        <v>274</v>
      </c>
      <c r="Q30" s="13">
        <v>1</v>
      </c>
      <c r="T30" s="14" t="s">
        <v>186</v>
      </c>
      <c r="U30" s="14">
        <v>600</v>
      </c>
    </row>
    <row r="31" spans="1:21">
      <c r="A31" s="12" t="s">
        <v>275</v>
      </c>
      <c r="B31">
        <v>40</v>
      </c>
      <c r="C31">
        <v>3</v>
      </c>
      <c r="D31">
        <v>6</v>
      </c>
      <c r="O31" s="13" t="s">
        <v>187</v>
      </c>
      <c r="P31" s="13" t="s">
        <v>275</v>
      </c>
      <c r="Q31" s="13">
        <v>1</v>
      </c>
      <c r="T31" s="14" t="s">
        <v>187</v>
      </c>
      <c r="U31" s="14">
        <v>600</v>
      </c>
    </row>
    <row r="32" spans="1:21">
      <c r="A32" s="12" t="s">
        <v>276</v>
      </c>
      <c r="B32">
        <v>40</v>
      </c>
      <c r="C32">
        <v>3</v>
      </c>
      <c r="D32">
        <v>6</v>
      </c>
      <c r="O32" s="13" t="s">
        <v>188</v>
      </c>
      <c r="P32" s="13" t="s">
        <v>276</v>
      </c>
      <c r="Q32" s="13">
        <v>1</v>
      </c>
      <c r="T32" s="14" t="s">
        <v>188</v>
      </c>
      <c r="U32" s="14">
        <v>600</v>
      </c>
    </row>
    <row r="33" spans="1:21">
      <c r="A33" s="12" t="s">
        <v>277</v>
      </c>
      <c r="B33">
        <v>40</v>
      </c>
      <c r="C33">
        <v>3</v>
      </c>
      <c r="D33">
        <v>6</v>
      </c>
      <c r="O33" s="13" t="s">
        <v>189</v>
      </c>
      <c r="P33" s="13" t="s">
        <v>277</v>
      </c>
      <c r="Q33" s="13">
        <v>1</v>
      </c>
      <c r="T33" s="14" t="s">
        <v>189</v>
      </c>
      <c r="U33" s="14">
        <v>600</v>
      </c>
    </row>
    <row r="34" spans="1:21">
      <c r="A34" s="12" t="s">
        <v>278</v>
      </c>
      <c r="B34">
        <v>40</v>
      </c>
      <c r="C34">
        <v>3</v>
      </c>
      <c r="D34">
        <v>6</v>
      </c>
      <c r="O34" s="13" t="s">
        <v>190</v>
      </c>
      <c r="P34" s="13" t="s">
        <v>278</v>
      </c>
      <c r="Q34" s="13">
        <v>1</v>
      </c>
      <c r="T34" s="14" t="s">
        <v>190</v>
      </c>
      <c r="U34" s="14">
        <v>600</v>
      </c>
    </row>
    <row r="35" spans="1:21">
      <c r="A35" s="12" t="s">
        <v>279</v>
      </c>
      <c r="B35">
        <v>40</v>
      </c>
      <c r="C35">
        <v>3</v>
      </c>
      <c r="D35">
        <v>6</v>
      </c>
      <c r="O35" s="13" t="s">
        <v>191</v>
      </c>
      <c r="P35" s="13" t="s">
        <v>279</v>
      </c>
      <c r="Q35" s="13">
        <v>1</v>
      </c>
      <c r="T35" s="14" t="s">
        <v>191</v>
      </c>
      <c r="U35" s="14">
        <v>600</v>
      </c>
    </row>
    <row r="36" spans="1:21">
      <c r="B36">
        <v>40</v>
      </c>
      <c r="C36">
        <v>3</v>
      </c>
      <c r="D36">
        <v>6</v>
      </c>
      <c r="T36" s="14" t="s">
        <v>209</v>
      </c>
      <c r="U36" s="14">
        <v>600</v>
      </c>
    </row>
    <row r="37" spans="1:21">
      <c r="B37">
        <v>40</v>
      </c>
      <c r="C37">
        <v>3</v>
      </c>
      <c r="D37">
        <v>6</v>
      </c>
      <c r="T37" s="14" t="s">
        <v>210</v>
      </c>
      <c r="U37" s="14">
        <v>600</v>
      </c>
    </row>
    <row r="38" spans="1:21">
      <c r="B38">
        <v>40</v>
      </c>
      <c r="C38">
        <v>3</v>
      </c>
      <c r="D38">
        <v>6</v>
      </c>
      <c r="T38" s="14" t="s">
        <v>211</v>
      </c>
      <c r="U38" s="14">
        <v>600</v>
      </c>
    </row>
    <row r="39" spans="1:21">
      <c r="B39">
        <v>40</v>
      </c>
      <c r="C39">
        <v>3</v>
      </c>
      <c r="D39">
        <v>6</v>
      </c>
      <c r="T39" s="14" t="s">
        <v>212</v>
      </c>
      <c r="U39" s="14">
        <v>600</v>
      </c>
    </row>
    <row r="40" spans="1:21">
      <c r="B40">
        <v>40</v>
      </c>
      <c r="C40">
        <v>3</v>
      </c>
      <c r="D40">
        <v>6</v>
      </c>
      <c r="T40" s="14" t="s">
        <v>213</v>
      </c>
      <c r="U40" s="14">
        <v>600</v>
      </c>
    </row>
    <row r="41" spans="1:21">
      <c r="B41">
        <v>40</v>
      </c>
      <c r="C41">
        <v>3</v>
      </c>
      <c r="D41">
        <v>6</v>
      </c>
      <c r="T41" s="14" t="s">
        <v>214</v>
      </c>
      <c r="U41" s="14">
        <v>600</v>
      </c>
    </row>
    <row r="42" spans="1:21">
      <c r="B42">
        <v>40</v>
      </c>
      <c r="C42">
        <v>3</v>
      </c>
      <c r="D42">
        <v>6</v>
      </c>
      <c r="T42" s="14" t="s">
        <v>215</v>
      </c>
      <c r="U42" s="14">
        <v>600</v>
      </c>
    </row>
    <row r="43" spans="1:21">
      <c r="B43">
        <v>40</v>
      </c>
      <c r="C43">
        <v>3</v>
      </c>
      <c r="D43">
        <v>6</v>
      </c>
      <c r="T43" s="14" t="s">
        <v>216</v>
      </c>
      <c r="U43" s="14">
        <v>600</v>
      </c>
    </row>
    <row r="44" spans="1:21">
      <c r="B44">
        <v>40</v>
      </c>
      <c r="C44">
        <v>3</v>
      </c>
      <c r="D44">
        <v>6</v>
      </c>
      <c r="T44" s="14" t="s">
        <v>217</v>
      </c>
      <c r="U44" s="14">
        <v>600</v>
      </c>
    </row>
    <row r="45" spans="1:21">
      <c r="B45">
        <v>40</v>
      </c>
      <c r="C45">
        <v>3</v>
      </c>
      <c r="D45">
        <v>6</v>
      </c>
      <c r="T45" s="14" t="s">
        <v>218</v>
      </c>
      <c r="U45" s="14">
        <v>600</v>
      </c>
    </row>
    <row r="46" spans="1:21">
      <c r="B46">
        <v>40</v>
      </c>
      <c r="C46">
        <v>3</v>
      </c>
      <c r="D46">
        <v>6</v>
      </c>
      <c r="T46" s="14" t="s">
        <v>219</v>
      </c>
      <c r="U46" s="14">
        <v>600</v>
      </c>
    </row>
    <row r="47" spans="1:21">
      <c r="B47">
        <v>40</v>
      </c>
      <c r="C47">
        <v>3</v>
      </c>
      <c r="D47">
        <v>6</v>
      </c>
      <c r="T47" s="14" t="s">
        <v>220</v>
      </c>
      <c r="U47" s="14">
        <v>600</v>
      </c>
    </row>
    <row r="48" spans="1:21">
      <c r="B48">
        <v>40</v>
      </c>
      <c r="C48">
        <v>3</v>
      </c>
      <c r="D48">
        <v>6</v>
      </c>
      <c r="T48" s="14" t="s">
        <v>221</v>
      </c>
      <c r="U48" s="14">
        <v>600</v>
      </c>
    </row>
    <row r="49" spans="2:21">
      <c r="B49">
        <v>40</v>
      </c>
      <c r="C49">
        <v>3</v>
      </c>
      <c r="D49">
        <v>6</v>
      </c>
      <c r="T49" s="14" t="s">
        <v>222</v>
      </c>
      <c r="U49" s="14">
        <v>600</v>
      </c>
    </row>
    <row r="50" spans="2:21">
      <c r="B50">
        <v>40</v>
      </c>
      <c r="C50">
        <v>3</v>
      </c>
      <c r="D50">
        <v>6</v>
      </c>
      <c r="T50" s="14" t="s">
        <v>223</v>
      </c>
      <c r="U50" s="14">
        <v>600</v>
      </c>
    </row>
    <row r="51" spans="2:21">
      <c r="B51">
        <v>40</v>
      </c>
      <c r="C51">
        <v>3</v>
      </c>
      <c r="D51">
        <v>6</v>
      </c>
      <c r="T51" s="14" t="s">
        <v>224</v>
      </c>
      <c r="U51" s="14">
        <v>600</v>
      </c>
    </row>
    <row r="52" spans="2:21">
      <c r="B52">
        <v>40</v>
      </c>
      <c r="C52">
        <v>3</v>
      </c>
      <c r="D52">
        <v>6</v>
      </c>
      <c r="T52" s="14" t="s">
        <v>225</v>
      </c>
      <c r="U52" s="14">
        <v>600</v>
      </c>
    </row>
    <row r="53" spans="2:21">
      <c r="B53">
        <v>40</v>
      </c>
      <c r="C53">
        <v>3</v>
      </c>
      <c r="D53">
        <v>6</v>
      </c>
      <c r="T53" s="14" t="s">
        <v>141</v>
      </c>
      <c r="U53" s="14">
        <v>600</v>
      </c>
    </row>
    <row r="54" spans="2:21">
      <c r="B54">
        <v>40</v>
      </c>
      <c r="C54">
        <v>3</v>
      </c>
      <c r="D54">
        <v>6</v>
      </c>
      <c r="T54" s="14" t="s">
        <v>142</v>
      </c>
      <c r="U54" s="14">
        <v>600</v>
      </c>
    </row>
    <row r="55" spans="2:21">
      <c r="B55">
        <v>40</v>
      </c>
      <c r="C55">
        <v>3</v>
      </c>
      <c r="D55">
        <v>6</v>
      </c>
      <c r="T55" s="14" t="s">
        <v>143</v>
      </c>
      <c r="U55" s="14">
        <v>600</v>
      </c>
    </row>
    <row r="56" spans="2:21">
      <c r="B56">
        <v>40</v>
      </c>
      <c r="C56">
        <v>3</v>
      </c>
      <c r="D56">
        <v>6</v>
      </c>
      <c r="T56" s="14" t="s">
        <v>144</v>
      </c>
      <c r="U56" s="14">
        <v>600</v>
      </c>
    </row>
    <row r="57" spans="2:21">
      <c r="B57">
        <v>40</v>
      </c>
      <c r="C57">
        <v>3</v>
      </c>
      <c r="D57">
        <v>6</v>
      </c>
      <c r="T57" s="14" t="s">
        <v>145</v>
      </c>
      <c r="U57" s="14">
        <v>600</v>
      </c>
    </row>
    <row r="58" spans="2:21">
      <c r="B58">
        <v>40</v>
      </c>
      <c r="C58">
        <v>3</v>
      </c>
      <c r="D58">
        <v>6</v>
      </c>
      <c r="T58" s="14" t="s">
        <v>146</v>
      </c>
      <c r="U58" s="14">
        <v>600</v>
      </c>
    </row>
    <row r="59" spans="2:21">
      <c r="B59">
        <v>40</v>
      </c>
      <c r="C59">
        <v>3</v>
      </c>
      <c r="D59">
        <v>6</v>
      </c>
      <c r="T59" s="14" t="s">
        <v>147</v>
      </c>
      <c r="U59" s="14">
        <v>600</v>
      </c>
    </row>
    <row r="60" spans="2:21">
      <c r="B60">
        <v>40</v>
      </c>
      <c r="C60">
        <v>3</v>
      </c>
      <c r="D60">
        <v>6</v>
      </c>
      <c r="T60" s="14" t="s">
        <v>148</v>
      </c>
      <c r="U60" s="14">
        <v>600</v>
      </c>
    </row>
    <row r="61" spans="2:21">
      <c r="B61">
        <v>40</v>
      </c>
      <c r="C61">
        <v>3</v>
      </c>
      <c r="D61">
        <v>6</v>
      </c>
      <c r="T61" s="14" t="s">
        <v>149</v>
      </c>
      <c r="U61" s="14">
        <v>600</v>
      </c>
    </row>
    <row r="62" spans="2:21">
      <c r="B62">
        <v>40</v>
      </c>
      <c r="C62">
        <v>3</v>
      </c>
      <c r="D62">
        <v>6</v>
      </c>
      <c r="T62" s="14" t="s">
        <v>150</v>
      </c>
      <c r="U62" s="14">
        <v>600</v>
      </c>
    </row>
    <row r="63" spans="2:21">
      <c r="B63">
        <v>40</v>
      </c>
      <c r="C63">
        <v>3</v>
      </c>
      <c r="D63">
        <v>6</v>
      </c>
      <c r="T63" s="14" t="s">
        <v>151</v>
      </c>
      <c r="U63" s="14">
        <v>600</v>
      </c>
    </row>
    <row r="64" spans="2:21">
      <c r="B64">
        <v>40</v>
      </c>
      <c r="C64">
        <v>3</v>
      </c>
      <c r="D64">
        <v>6</v>
      </c>
      <c r="T64" s="14" t="s">
        <v>152</v>
      </c>
      <c r="U64" s="14">
        <v>600</v>
      </c>
    </row>
    <row r="65" spans="2:21">
      <c r="B65">
        <v>40</v>
      </c>
      <c r="C65">
        <v>3</v>
      </c>
      <c r="D65">
        <v>6</v>
      </c>
      <c r="T65" s="14" t="s">
        <v>153</v>
      </c>
      <c r="U65" s="14">
        <v>600</v>
      </c>
    </row>
    <row r="66" spans="2:21">
      <c r="B66">
        <v>40</v>
      </c>
      <c r="C66">
        <v>3</v>
      </c>
      <c r="D66">
        <v>6</v>
      </c>
      <c r="T66" s="14" t="s">
        <v>154</v>
      </c>
      <c r="U66" s="14">
        <v>600</v>
      </c>
    </row>
    <row r="67" spans="2:21">
      <c r="B67">
        <v>40</v>
      </c>
      <c r="C67">
        <v>3</v>
      </c>
      <c r="D67">
        <v>6</v>
      </c>
      <c r="T67" s="14" t="s">
        <v>155</v>
      </c>
      <c r="U67" s="14">
        <v>600</v>
      </c>
    </row>
    <row r="68" spans="2:21">
      <c r="B68">
        <v>40</v>
      </c>
      <c r="C68">
        <v>3</v>
      </c>
      <c r="D68">
        <v>6</v>
      </c>
      <c r="T68" s="14" t="s">
        <v>156</v>
      </c>
      <c r="U68" s="14">
        <v>600</v>
      </c>
    </row>
    <row r="69" spans="2:21">
      <c r="B69">
        <v>40</v>
      </c>
      <c r="C69">
        <v>3</v>
      </c>
      <c r="D69">
        <v>6</v>
      </c>
      <c r="T69" s="14" t="s">
        <v>157</v>
      </c>
      <c r="U69" s="14">
        <v>600</v>
      </c>
    </row>
    <row r="70" spans="2:21">
      <c r="B70">
        <v>40</v>
      </c>
      <c r="C70">
        <v>3</v>
      </c>
      <c r="D70">
        <v>6</v>
      </c>
      <c r="T70" s="14" t="s">
        <v>226</v>
      </c>
      <c r="U70" s="14">
        <v>600</v>
      </c>
    </row>
    <row r="71" spans="2:21">
      <c r="B71">
        <v>40</v>
      </c>
      <c r="C71">
        <v>3</v>
      </c>
      <c r="D71">
        <v>6</v>
      </c>
      <c r="T71" s="14" t="s">
        <v>227</v>
      </c>
      <c r="U71" s="14">
        <v>600</v>
      </c>
    </row>
    <row r="72" spans="2:21">
      <c r="B72">
        <v>40</v>
      </c>
      <c r="C72">
        <v>3</v>
      </c>
      <c r="D72">
        <v>6</v>
      </c>
      <c r="T72" s="14" t="s">
        <v>228</v>
      </c>
      <c r="U72" s="14">
        <v>600</v>
      </c>
    </row>
    <row r="73" spans="2:21">
      <c r="B73">
        <v>40</v>
      </c>
      <c r="C73">
        <v>3</v>
      </c>
      <c r="D73">
        <v>6</v>
      </c>
      <c r="T73" s="14" t="s">
        <v>229</v>
      </c>
      <c r="U73" s="14">
        <v>600</v>
      </c>
    </row>
    <row r="74" spans="2:21">
      <c r="B74">
        <v>40</v>
      </c>
      <c r="C74">
        <v>3</v>
      </c>
      <c r="D74">
        <v>6</v>
      </c>
      <c r="T74" s="14" t="s">
        <v>230</v>
      </c>
      <c r="U74" s="14">
        <v>600</v>
      </c>
    </row>
    <row r="75" spans="2:21">
      <c r="B75">
        <v>40</v>
      </c>
      <c r="C75">
        <v>3</v>
      </c>
      <c r="D75">
        <v>6</v>
      </c>
      <c r="T75" s="14" t="s">
        <v>231</v>
      </c>
      <c r="U75" s="14">
        <v>600</v>
      </c>
    </row>
    <row r="76" spans="2:21">
      <c r="B76">
        <v>40</v>
      </c>
      <c r="C76">
        <v>3</v>
      </c>
      <c r="D76">
        <v>6</v>
      </c>
      <c r="T76" s="14" t="s">
        <v>232</v>
      </c>
      <c r="U76" s="14">
        <v>600</v>
      </c>
    </row>
    <row r="77" spans="2:21">
      <c r="B77">
        <v>40</v>
      </c>
      <c r="C77">
        <v>3</v>
      </c>
      <c r="D77">
        <v>6</v>
      </c>
      <c r="T77" s="14" t="s">
        <v>233</v>
      </c>
      <c r="U77" s="14">
        <v>600</v>
      </c>
    </row>
    <row r="78" spans="2:21">
      <c r="B78">
        <v>40</v>
      </c>
      <c r="C78">
        <v>3</v>
      </c>
      <c r="D78">
        <v>6</v>
      </c>
      <c r="T78" s="14" t="s">
        <v>234</v>
      </c>
      <c r="U78" s="14">
        <v>600</v>
      </c>
    </row>
    <row r="79" spans="2:21">
      <c r="B79">
        <v>40</v>
      </c>
      <c r="C79">
        <v>3</v>
      </c>
      <c r="D79">
        <v>6</v>
      </c>
      <c r="T79" s="14" t="s">
        <v>235</v>
      </c>
      <c r="U79" s="14">
        <v>600</v>
      </c>
    </row>
    <row r="80" spans="2:21">
      <c r="B80">
        <v>40</v>
      </c>
      <c r="C80">
        <v>3</v>
      </c>
      <c r="D80">
        <v>6</v>
      </c>
      <c r="T80" s="14" t="s">
        <v>236</v>
      </c>
      <c r="U80" s="14">
        <v>600</v>
      </c>
    </row>
    <row r="81" spans="2:21">
      <c r="B81">
        <v>40</v>
      </c>
      <c r="C81">
        <v>3</v>
      </c>
      <c r="D81">
        <v>6</v>
      </c>
      <c r="T81" s="14" t="s">
        <v>237</v>
      </c>
      <c r="U81" s="14">
        <v>600</v>
      </c>
    </row>
    <row r="82" spans="2:21">
      <c r="B82">
        <v>40</v>
      </c>
      <c r="C82">
        <v>3</v>
      </c>
      <c r="D82">
        <v>6</v>
      </c>
      <c r="T82" s="14" t="s">
        <v>238</v>
      </c>
      <c r="U82" s="14">
        <v>600</v>
      </c>
    </row>
    <row r="83" spans="2:21">
      <c r="B83">
        <v>40</v>
      </c>
      <c r="C83">
        <v>3</v>
      </c>
      <c r="D83">
        <v>6</v>
      </c>
      <c r="T83" s="14" t="s">
        <v>239</v>
      </c>
      <c r="U83" s="14">
        <v>600</v>
      </c>
    </row>
    <row r="84" spans="2:21">
      <c r="B84">
        <v>40</v>
      </c>
      <c r="C84">
        <v>3</v>
      </c>
      <c r="D84">
        <v>6</v>
      </c>
      <c r="T84" s="14" t="s">
        <v>240</v>
      </c>
      <c r="U84" s="14">
        <v>600</v>
      </c>
    </row>
    <row r="85" spans="2:21">
      <c r="B85">
        <v>40</v>
      </c>
      <c r="C85">
        <v>3</v>
      </c>
      <c r="D85">
        <v>6</v>
      </c>
      <c r="T85" s="14" t="s">
        <v>241</v>
      </c>
      <c r="U85" s="14">
        <v>600</v>
      </c>
    </row>
    <row r="86" spans="2:21">
      <c r="B86">
        <v>40</v>
      </c>
      <c r="C86">
        <v>3</v>
      </c>
      <c r="D86">
        <v>6</v>
      </c>
      <c r="T86" s="14" t="s">
        <v>242</v>
      </c>
      <c r="U86" s="14">
        <v>600</v>
      </c>
    </row>
    <row r="87" spans="2:21">
      <c r="B87">
        <v>40</v>
      </c>
      <c r="C87">
        <v>3</v>
      </c>
      <c r="D87">
        <v>6</v>
      </c>
      <c r="T87" s="14" t="s">
        <v>243</v>
      </c>
      <c r="U87" s="14">
        <v>600</v>
      </c>
    </row>
    <row r="88" spans="2:21">
      <c r="B88">
        <v>40</v>
      </c>
      <c r="C88">
        <v>3</v>
      </c>
      <c r="D88">
        <v>6</v>
      </c>
      <c r="T88" s="14" t="s">
        <v>244</v>
      </c>
      <c r="U88" s="14">
        <v>600</v>
      </c>
    </row>
    <row r="89" spans="2:21">
      <c r="B89">
        <v>40</v>
      </c>
      <c r="C89">
        <v>3</v>
      </c>
      <c r="D89">
        <v>6</v>
      </c>
      <c r="T89" s="14" t="s">
        <v>245</v>
      </c>
      <c r="U89" s="14">
        <v>600</v>
      </c>
    </row>
    <row r="90" spans="2:21">
      <c r="B90">
        <v>40</v>
      </c>
      <c r="C90">
        <v>3</v>
      </c>
      <c r="D90">
        <v>6</v>
      </c>
      <c r="T90" s="14" t="s">
        <v>246</v>
      </c>
      <c r="U90" s="14">
        <v>600</v>
      </c>
    </row>
    <row r="91" spans="2:21">
      <c r="B91">
        <v>40</v>
      </c>
      <c r="C91">
        <v>3</v>
      </c>
      <c r="D91">
        <v>6</v>
      </c>
      <c r="T91" s="14" t="s">
        <v>247</v>
      </c>
      <c r="U91" s="14">
        <v>600</v>
      </c>
    </row>
    <row r="92" spans="2:21">
      <c r="B92">
        <v>40</v>
      </c>
      <c r="C92">
        <v>3</v>
      </c>
      <c r="D92">
        <v>6</v>
      </c>
      <c r="T92" s="14" t="s">
        <v>248</v>
      </c>
      <c r="U92" s="14">
        <v>600</v>
      </c>
    </row>
    <row r="93" spans="2:21">
      <c r="B93">
        <v>40</v>
      </c>
      <c r="C93">
        <v>3</v>
      </c>
      <c r="D93">
        <v>6</v>
      </c>
      <c r="T93" s="14" t="s">
        <v>249</v>
      </c>
      <c r="U93" s="14">
        <v>600</v>
      </c>
    </row>
    <row r="94" spans="2:21">
      <c r="B94">
        <v>40</v>
      </c>
      <c r="C94">
        <v>3</v>
      </c>
      <c r="D94">
        <v>6</v>
      </c>
      <c r="T94" s="14" t="s">
        <v>250</v>
      </c>
      <c r="U94" s="14">
        <v>600</v>
      </c>
    </row>
    <row r="95" spans="2:21">
      <c r="B95">
        <v>40</v>
      </c>
      <c r="C95">
        <v>3</v>
      </c>
      <c r="D95">
        <v>6</v>
      </c>
      <c r="T95" s="14" t="s">
        <v>251</v>
      </c>
      <c r="U95" s="14">
        <v>600</v>
      </c>
    </row>
    <row r="96" spans="2:21">
      <c r="B96">
        <v>40</v>
      </c>
      <c r="C96">
        <v>3</v>
      </c>
      <c r="D96">
        <v>6</v>
      </c>
      <c r="T96" s="14" t="s">
        <v>252</v>
      </c>
      <c r="U96" s="14">
        <v>600</v>
      </c>
    </row>
    <row r="97" spans="2:21">
      <c r="B97">
        <v>40</v>
      </c>
      <c r="C97">
        <v>3</v>
      </c>
      <c r="D97">
        <v>6</v>
      </c>
      <c r="T97" s="14" t="s">
        <v>253</v>
      </c>
      <c r="U97" s="14">
        <v>600</v>
      </c>
    </row>
    <row r="98" spans="2:21">
      <c r="B98">
        <v>40</v>
      </c>
      <c r="C98">
        <v>3</v>
      </c>
      <c r="D98">
        <v>6</v>
      </c>
      <c r="T98" s="14" t="s">
        <v>254</v>
      </c>
      <c r="U98" s="14">
        <v>600</v>
      </c>
    </row>
    <row r="99" spans="2:21">
      <c r="B99">
        <v>40</v>
      </c>
      <c r="C99">
        <v>3</v>
      </c>
      <c r="D99">
        <v>6</v>
      </c>
      <c r="T99" s="14" t="s">
        <v>255</v>
      </c>
      <c r="U99" s="14">
        <v>600</v>
      </c>
    </row>
    <row r="100" spans="2:21">
      <c r="B100">
        <v>40</v>
      </c>
      <c r="C100">
        <v>3</v>
      </c>
      <c r="D100">
        <v>6</v>
      </c>
      <c r="T100" s="14" t="s">
        <v>256</v>
      </c>
      <c r="U100" s="14">
        <v>600</v>
      </c>
    </row>
    <row r="101" spans="2:21">
      <c r="B101">
        <v>40</v>
      </c>
      <c r="C101">
        <v>3</v>
      </c>
      <c r="D101">
        <v>6</v>
      </c>
      <c r="T101" s="14" t="s">
        <v>257</v>
      </c>
      <c r="U101" s="14">
        <v>600</v>
      </c>
    </row>
    <row r="102" spans="2:21">
      <c r="B102">
        <v>40</v>
      </c>
      <c r="C102">
        <v>3</v>
      </c>
      <c r="D102">
        <v>6</v>
      </c>
      <c r="T102" s="14" t="s">
        <v>258</v>
      </c>
      <c r="U102" s="14">
        <v>600</v>
      </c>
    </row>
    <row r="103" spans="2:21">
      <c r="B103">
        <v>40</v>
      </c>
      <c r="C103">
        <v>3</v>
      </c>
      <c r="D103">
        <v>6</v>
      </c>
      <c r="T103" s="14" t="s">
        <v>259</v>
      </c>
      <c r="U103" s="14">
        <v>600</v>
      </c>
    </row>
    <row r="104" spans="2:21">
      <c r="B104">
        <v>40</v>
      </c>
      <c r="C104">
        <v>3</v>
      </c>
      <c r="D104">
        <v>6</v>
      </c>
    </row>
    <row r="105" spans="2:21">
      <c r="B105">
        <v>40</v>
      </c>
      <c r="C105">
        <v>3</v>
      </c>
      <c r="D105">
        <v>6</v>
      </c>
    </row>
    <row r="106" spans="2:21">
      <c r="B106">
        <v>40</v>
      </c>
      <c r="C106">
        <v>3</v>
      </c>
      <c r="D106">
        <v>6</v>
      </c>
    </row>
    <row r="107" spans="2:21">
      <c r="B107">
        <v>40</v>
      </c>
      <c r="C107">
        <v>3</v>
      </c>
      <c r="D107">
        <v>6</v>
      </c>
    </row>
    <row r="108" spans="2:21">
      <c r="B108">
        <v>40</v>
      </c>
      <c r="C108">
        <v>3</v>
      </c>
      <c r="D108">
        <v>6</v>
      </c>
    </row>
    <row r="109" spans="2:21">
      <c r="B109">
        <v>40</v>
      </c>
      <c r="C109">
        <v>3</v>
      </c>
      <c r="D109">
        <v>6</v>
      </c>
    </row>
    <row r="110" spans="2:21">
      <c r="B110">
        <v>40</v>
      </c>
      <c r="C110">
        <v>3</v>
      </c>
      <c r="D110">
        <v>6</v>
      </c>
    </row>
    <row r="111" spans="2:21">
      <c r="B111">
        <v>40</v>
      </c>
      <c r="C111">
        <v>3</v>
      </c>
      <c r="D111">
        <v>6</v>
      </c>
    </row>
    <row r="112" spans="2:21">
      <c r="B112">
        <v>40</v>
      </c>
      <c r="C112">
        <v>3</v>
      </c>
      <c r="D112">
        <v>6</v>
      </c>
    </row>
    <row r="113" spans="2:4">
      <c r="B113">
        <v>40</v>
      </c>
      <c r="C113">
        <v>3</v>
      </c>
      <c r="D113">
        <v>6</v>
      </c>
    </row>
    <row r="114" spans="2:4">
      <c r="B114">
        <v>40</v>
      </c>
      <c r="C114">
        <v>3</v>
      </c>
      <c r="D114">
        <v>6</v>
      </c>
    </row>
    <row r="115" spans="2:4">
      <c r="B115">
        <v>40</v>
      </c>
      <c r="C115">
        <v>3</v>
      </c>
      <c r="D115">
        <v>6</v>
      </c>
    </row>
    <row r="116" spans="2:4">
      <c r="B116">
        <v>40</v>
      </c>
      <c r="C116">
        <v>3</v>
      </c>
      <c r="D116">
        <v>6</v>
      </c>
    </row>
    <row r="117" spans="2:4">
      <c r="B117">
        <v>40</v>
      </c>
      <c r="C117">
        <v>3</v>
      </c>
      <c r="D117">
        <v>6</v>
      </c>
    </row>
    <row r="118" spans="2:4">
      <c r="B118">
        <v>40</v>
      </c>
      <c r="C118">
        <v>3</v>
      </c>
      <c r="D118">
        <v>6</v>
      </c>
    </row>
    <row r="119" spans="2:4">
      <c r="B119">
        <v>40</v>
      </c>
      <c r="C119">
        <v>3</v>
      </c>
      <c r="D119">
        <v>6</v>
      </c>
    </row>
    <row r="120" spans="2:4">
      <c r="B120">
        <v>40</v>
      </c>
      <c r="C120">
        <v>3</v>
      </c>
      <c r="D120">
        <v>6</v>
      </c>
    </row>
    <row r="121" spans="2:4">
      <c r="B121">
        <v>40</v>
      </c>
      <c r="C121">
        <v>3</v>
      </c>
      <c r="D121">
        <v>6</v>
      </c>
    </row>
    <row r="122" spans="2:4">
      <c r="B122">
        <v>40</v>
      </c>
      <c r="C122">
        <v>3</v>
      </c>
      <c r="D122">
        <v>6</v>
      </c>
    </row>
    <row r="123" spans="2:4">
      <c r="B123">
        <v>40</v>
      </c>
      <c r="C123">
        <v>3</v>
      </c>
      <c r="D123">
        <v>6</v>
      </c>
    </row>
    <row r="124" spans="2:4">
      <c r="B124">
        <v>40</v>
      </c>
      <c r="C124">
        <v>3</v>
      </c>
      <c r="D124">
        <v>6</v>
      </c>
    </row>
    <row r="125" spans="2:4">
      <c r="B125">
        <v>40</v>
      </c>
      <c r="C125">
        <v>3</v>
      </c>
      <c r="D125">
        <v>6</v>
      </c>
    </row>
    <row r="126" spans="2:4">
      <c r="B126">
        <v>40</v>
      </c>
      <c r="C126">
        <v>3</v>
      </c>
      <c r="D126">
        <v>6</v>
      </c>
    </row>
    <row r="127" spans="2:4">
      <c r="B127">
        <v>40</v>
      </c>
      <c r="C127">
        <v>3</v>
      </c>
      <c r="D127">
        <v>6</v>
      </c>
    </row>
    <row r="128" spans="2:4">
      <c r="B128">
        <v>40</v>
      </c>
      <c r="C128">
        <v>3</v>
      </c>
      <c r="D128">
        <v>6</v>
      </c>
    </row>
    <row r="129" spans="2:4">
      <c r="B129">
        <v>40</v>
      </c>
      <c r="C129">
        <v>3</v>
      </c>
      <c r="D129">
        <v>6</v>
      </c>
    </row>
    <row r="130" spans="2:4">
      <c r="B130">
        <v>40</v>
      </c>
      <c r="C130">
        <v>3</v>
      </c>
      <c r="D130">
        <v>6</v>
      </c>
    </row>
    <row r="131" spans="2:4">
      <c r="B131">
        <v>40</v>
      </c>
      <c r="C131">
        <v>3</v>
      </c>
      <c r="D131">
        <v>6</v>
      </c>
    </row>
    <row r="132" spans="2:4">
      <c r="B132">
        <v>40</v>
      </c>
      <c r="C132">
        <v>3</v>
      </c>
      <c r="D132">
        <v>6</v>
      </c>
    </row>
    <row r="133" spans="2:4">
      <c r="B133">
        <v>40</v>
      </c>
      <c r="C133">
        <v>3</v>
      </c>
      <c r="D133">
        <v>6</v>
      </c>
    </row>
    <row r="134" spans="2:4">
      <c r="B134">
        <v>40</v>
      </c>
      <c r="C134">
        <v>3</v>
      </c>
      <c r="D134">
        <v>6</v>
      </c>
    </row>
    <row r="135" spans="2:4">
      <c r="B135">
        <v>40</v>
      </c>
      <c r="C135">
        <v>3</v>
      </c>
      <c r="D135">
        <v>6</v>
      </c>
    </row>
    <row r="136" spans="2:4">
      <c r="B136">
        <v>40</v>
      </c>
      <c r="C136">
        <v>3</v>
      </c>
      <c r="D136">
        <v>6</v>
      </c>
    </row>
    <row r="137" spans="2:4">
      <c r="B137">
        <v>40</v>
      </c>
      <c r="C137">
        <v>3</v>
      </c>
      <c r="D137">
        <v>6</v>
      </c>
    </row>
    <row r="138" spans="2:4">
      <c r="B138">
        <v>40</v>
      </c>
      <c r="C138">
        <v>3</v>
      </c>
      <c r="D138">
        <v>6</v>
      </c>
    </row>
    <row r="139" spans="2:4">
      <c r="B139">
        <v>40</v>
      </c>
      <c r="C139">
        <v>3</v>
      </c>
      <c r="D139">
        <v>6</v>
      </c>
    </row>
    <row r="140" spans="2:4">
      <c r="B140">
        <v>40</v>
      </c>
      <c r="C140">
        <v>3</v>
      </c>
      <c r="D140">
        <v>6</v>
      </c>
    </row>
    <row r="141" spans="2:4">
      <c r="B141">
        <v>40</v>
      </c>
      <c r="C141">
        <v>3</v>
      </c>
      <c r="D141">
        <v>6</v>
      </c>
    </row>
    <row r="142" spans="2:4">
      <c r="B142">
        <v>40</v>
      </c>
      <c r="C142">
        <v>3</v>
      </c>
      <c r="D142">
        <v>6</v>
      </c>
    </row>
    <row r="143" spans="2:4">
      <c r="B143">
        <v>40</v>
      </c>
      <c r="C143">
        <v>3</v>
      </c>
      <c r="D143">
        <v>6</v>
      </c>
    </row>
    <row r="144" spans="2:4">
      <c r="B144">
        <v>40</v>
      </c>
      <c r="C144">
        <v>3</v>
      </c>
      <c r="D144">
        <v>6</v>
      </c>
    </row>
    <row r="145" spans="2:4">
      <c r="B145">
        <v>40</v>
      </c>
      <c r="C145">
        <v>3</v>
      </c>
      <c r="D145">
        <v>6</v>
      </c>
    </row>
    <row r="146" spans="2:4">
      <c r="B146">
        <v>40</v>
      </c>
      <c r="C146">
        <v>3</v>
      </c>
      <c r="D146">
        <v>6</v>
      </c>
    </row>
    <row r="147" spans="2:4">
      <c r="B147">
        <v>40</v>
      </c>
      <c r="C147">
        <v>3</v>
      </c>
      <c r="D147">
        <v>6</v>
      </c>
    </row>
    <row r="148" spans="2:4">
      <c r="B148">
        <v>40</v>
      </c>
      <c r="C148">
        <v>3</v>
      </c>
      <c r="D148">
        <v>6</v>
      </c>
    </row>
    <row r="149" spans="2:4">
      <c r="B149">
        <v>40</v>
      </c>
      <c r="C149">
        <v>3</v>
      </c>
      <c r="D149">
        <v>6</v>
      </c>
    </row>
    <row r="150" spans="2:4">
      <c r="B150">
        <v>40</v>
      </c>
      <c r="C150">
        <v>3</v>
      </c>
      <c r="D150">
        <v>6</v>
      </c>
    </row>
    <row r="151" spans="2:4">
      <c r="B151">
        <v>40</v>
      </c>
      <c r="C151">
        <v>3</v>
      </c>
      <c r="D151">
        <v>6</v>
      </c>
    </row>
    <row r="152" spans="2:4">
      <c r="B152">
        <v>40</v>
      </c>
      <c r="C152">
        <v>3</v>
      </c>
      <c r="D152">
        <v>6</v>
      </c>
    </row>
    <row r="153" spans="2:4">
      <c r="B153">
        <v>40</v>
      </c>
      <c r="C153">
        <v>3</v>
      </c>
      <c r="D153">
        <v>6</v>
      </c>
    </row>
    <row r="154" spans="2:4">
      <c r="B154">
        <v>40</v>
      </c>
      <c r="C154">
        <v>3</v>
      </c>
      <c r="D154">
        <v>6</v>
      </c>
    </row>
    <row r="155" spans="2:4">
      <c r="B155">
        <v>40</v>
      </c>
      <c r="C155">
        <v>3</v>
      </c>
      <c r="D155">
        <v>6</v>
      </c>
    </row>
    <row r="156" spans="2:4">
      <c r="B156">
        <v>40</v>
      </c>
      <c r="C156">
        <v>3</v>
      </c>
      <c r="D156">
        <v>6</v>
      </c>
    </row>
    <row r="157" spans="2:4">
      <c r="B157">
        <v>40</v>
      </c>
      <c r="C157">
        <v>3</v>
      </c>
      <c r="D157">
        <v>6</v>
      </c>
    </row>
    <row r="158" spans="2:4">
      <c r="B158">
        <v>40</v>
      </c>
      <c r="C158">
        <v>3</v>
      </c>
      <c r="D158">
        <v>6</v>
      </c>
    </row>
    <row r="159" spans="2:4">
      <c r="B159">
        <v>40</v>
      </c>
      <c r="C159">
        <v>3</v>
      </c>
      <c r="D159">
        <v>6</v>
      </c>
    </row>
    <row r="160" spans="2:4">
      <c r="B160">
        <v>40</v>
      </c>
      <c r="C160">
        <v>3</v>
      </c>
      <c r="D160">
        <v>6</v>
      </c>
    </row>
    <row r="161" spans="2:4">
      <c r="B161">
        <v>40</v>
      </c>
      <c r="C161">
        <v>3</v>
      </c>
      <c r="D161">
        <v>6</v>
      </c>
    </row>
    <row r="162" spans="2:4">
      <c r="B162">
        <v>40</v>
      </c>
      <c r="C162">
        <v>3</v>
      </c>
      <c r="D162">
        <v>6</v>
      </c>
    </row>
    <row r="163" spans="2:4">
      <c r="B163">
        <v>40</v>
      </c>
      <c r="C163">
        <v>3</v>
      </c>
      <c r="D163">
        <v>6</v>
      </c>
    </row>
    <row r="164" spans="2:4">
      <c r="B164">
        <v>40</v>
      </c>
      <c r="C164">
        <v>3</v>
      </c>
      <c r="D164">
        <v>6</v>
      </c>
    </row>
    <row r="165" spans="2:4">
      <c r="B165">
        <v>40</v>
      </c>
      <c r="C165">
        <v>3</v>
      </c>
      <c r="D165">
        <v>6</v>
      </c>
    </row>
    <row r="166" spans="2:4">
      <c r="B166">
        <v>40</v>
      </c>
      <c r="C166">
        <v>3</v>
      </c>
      <c r="D166">
        <v>6</v>
      </c>
    </row>
    <row r="167" spans="2:4">
      <c r="B167">
        <v>40</v>
      </c>
      <c r="C167">
        <v>3</v>
      </c>
      <c r="D167">
        <v>6</v>
      </c>
    </row>
    <row r="168" spans="2:4">
      <c r="B168">
        <v>40</v>
      </c>
      <c r="C168">
        <v>3</v>
      </c>
      <c r="D168">
        <v>6</v>
      </c>
    </row>
    <row r="169" spans="2:4">
      <c r="B169">
        <v>40</v>
      </c>
      <c r="C169">
        <v>3</v>
      </c>
      <c r="D169">
        <v>6</v>
      </c>
    </row>
    <row r="170" spans="2:4">
      <c r="B170">
        <v>40</v>
      </c>
      <c r="C170">
        <v>3</v>
      </c>
      <c r="D170">
        <v>6</v>
      </c>
    </row>
    <row r="171" spans="2:4">
      <c r="B171">
        <v>40</v>
      </c>
      <c r="C171">
        <v>3</v>
      </c>
      <c r="D171">
        <v>6</v>
      </c>
    </row>
    <row r="172" spans="2:4">
      <c r="B172">
        <v>40</v>
      </c>
      <c r="C172">
        <v>3</v>
      </c>
      <c r="D172">
        <v>6</v>
      </c>
    </row>
    <row r="173" spans="2:4">
      <c r="B173">
        <v>40</v>
      </c>
      <c r="C173">
        <v>3</v>
      </c>
      <c r="D173">
        <v>6</v>
      </c>
    </row>
    <row r="174" spans="2:4">
      <c r="B174">
        <v>40</v>
      </c>
      <c r="C174">
        <v>3</v>
      </c>
      <c r="D174">
        <v>6</v>
      </c>
    </row>
    <row r="175" spans="2:4">
      <c r="B175">
        <v>40</v>
      </c>
      <c r="C175">
        <v>3</v>
      </c>
      <c r="D175">
        <v>6</v>
      </c>
    </row>
    <row r="176" spans="2:4">
      <c r="B176">
        <v>40</v>
      </c>
      <c r="C176">
        <v>3</v>
      </c>
      <c r="D176">
        <v>6</v>
      </c>
    </row>
    <row r="177" spans="2:4">
      <c r="B177">
        <v>40</v>
      </c>
      <c r="C177">
        <v>3</v>
      </c>
      <c r="D177">
        <v>6</v>
      </c>
    </row>
    <row r="178" spans="2:4">
      <c r="B178">
        <v>40</v>
      </c>
      <c r="C178">
        <v>3</v>
      </c>
      <c r="D178">
        <v>6</v>
      </c>
    </row>
    <row r="179" spans="2:4">
      <c r="B179">
        <v>40</v>
      </c>
      <c r="C179">
        <v>3</v>
      </c>
      <c r="D179">
        <v>6</v>
      </c>
    </row>
    <row r="180" spans="2:4">
      <c r="B180">
        <v>40</v>
      </c>
      <c r="C180">
        <v>3</v>
      </c>
      <c r="D180">
        <v>6</v>
      </c>
    </row>
    <row r="181" spans="2:4">
      <c r="B181">
        <v>40</v>
      </c>
      <c r="C181">
        <v>3</v>
      </c>
      <c r="D181">
        <v>6</v>
      </c>
    </row>
    <row r="182" spans="2:4">
      <c r="B182">
        <v>40</v>
      </c>
      <c r="C182">
        <v>3</v>
      </c>
      <c r="D182">
        <v>6</v>
      </c>
    </row>
    <row r="183" spans="2:4">
      <c r="B183">
        <v>40</v>
      </c>
      <c r="C183">
        <v>3</v>
      </c>
      <c r="D183">
        <v>6</v>
      </c>
    </row>
    <row r="184" spans="2:4">
      <c r="B184">
        <v>40</v>
      </c>
      <c r="C184">
        <v>3</v>
      </c>
      <c r="D184">
        <v>6</v>
      </c>
    </row>
    <row r="185" spans="2:4">
      <c r="B185">
        <v>40</v>
      </c>
      <c r="C185">
        <v>3</v>
      </c>
      <c r="D185">
        <v>6</v>
      </c>
    </row>
    <row r="186" spans="2:4">
      <c r="B186">
        <v>40</v>
      </c>
      <c r="C186">
        <v>3</v>
      </c>
      <c r="D186">
        <v>6</v>
      </c>
    </row>
    <row r="187" spans="2:4">
      <c r="B187">
        <v>40</v>
      </c>
      <c r="C187">
        <v>3</v>
      </c>
      <c r="D187">
        <v>6</v>
      </c>
    </row>
    <row r="188" spans="2:4">
      <c r="B188">
        <v>40</v>
      </c>
      <c r="C188">
        <v>3</v>
      </c>
      <c r="D188">
        <v>6</v>
      </c>
    </row>
    <row r="189" spans="2:4">
      <c r="B189">
        <v>40</v>
      </c>
      <c r="C189">
        <v>3</v>
      </c>
      <c r="D189">
        <v>6</v>
      </c>
    </row>
    <row r="190" spans="2:4">
      <c r="B190">
        <v>40</v>
      </c>
      <c r="C190">
        <v>3</v>
      </c>
      <c r="D190">
        <v>6</v>
      </c>
    </row>
    <row r="191" spans="2:4">
      <c r="B191">
        <v>40</v>
      </c>
      <c r="C191">
        <v>3</v>
      </c>
      <c r="D191">
        <v>6</v>
      </c>
    </row>
    <row r="192" spans="2:4">
      <c r="B192">
        <v>40</v>
      </c>
      <c r="C192">
        <v>3</v>
      </c>
      <c r="D192">
        <v>6</v>
      </c>
    </row>
    <row r="193" spans="2:4">
      <c r="B193">
        <v>40</v>
      </c>
      <c r="C193">
        <v>3</v>
      </c>
      <c r="D193">
        <v>6</v>
      </c>
    </row>
    <row r="194" spans="2:4">
      <c r="B194">
        <v>40</v>
      </c>
      <c r="C194">
        <v>3</v>
      </c>
      <c r="D194">
        <v>6</v>
      </c>
    </row>
    <row r="195" spans="2:4">
      <c r="B195">
        <v>40</v>
      </c>
      <c r="C195">
        <v>3</v>
      </c>
      <c r="D195">
        <v>6</v>
      </c>
    </row>
    <row r="196" spans="2:4">
      <c r="B196">
        <v>40</v>
      </c>
      <c r="C196">
        <v>3</v>
      </c>
      <c r="D196">
        <v>6</v>
      </c>
    </row>
    <row r="197" spans="2:4">
      <c r="B197">
        <v>40</v>
      </c>
      <c r="C197">
        <v>3</v>
      </c>
      <c r="D197">
        <v>6</v>
      </c>
    </row>
    <row r="198" spans="2:4">
      <c r="B198">
        <v>40</v>
      </c>
      <c r="C198">
        <v>3</v>
      </c>
      <c r="D198">
        <v>6</v>
      </c>
    </row>
    <row r="199" spans="2:4">
      <c r="B199">
        <v>40</v>
      </c>
      <c r="C199">
        <v>3</v>
      </c>
      <c r="D199">
        <v>6</v>
      </c>
    </row>
    <row r="200" spans="2:4">
      <c r="B200">
        <v>40</v>
      </c>
      <c r="C200">
        <v>3</v>
      </c>
      <c r="D200">
        <v>6</v>
      </c>
    </row>
    <row r="201" spans="2:4">
      <c r="B201">
        <v>40</v>
      </c>
      <c r="C201">
        <v>3</v>
      </c>
      <c r="D201">
        <v>6</v>
      </c>
    </row>
    <row r="202" spans="2:4">
      <c r="B202">
        <v>40</v>
      </c>
      <c r="C202">
        <v>3</v>
      </c>
      <c r="D202">
        <v>6</v>
      </c>
    </row>
    <row r="203" spans="2:4">
      <c r="B203">
        <v>40</v>
      </c>
      <c r="C203">
        <v>3</v>
      </c>
      <c r="D203">
        <v>6</v>
      </c>
    </row>
    <row r="204" spans="2:4">
      <c r="B204">
        <v>40</v>
      </c>
      <c r="C204">
        <v>3</v>
      </c>
      <c r="D204">
        <v>6</v>
      </c>
    </row>
    <row r="205" spans="2:4">
      <c r="B205">
        <v>40</v>
      </c>
      <c r="C205">
        <v>3</v>
      </c>
      <c r="D205">
        <v>6</v>
      </c>
    </row>
    <row r="206" spans="2:4">
      <c r="B206">
        <v>40</v>
      </c>
      <c r="C206">
        <v>3</v>
      </c>
      <c r="D206">
        <v>6</v>
      </c>
    </row>
    <row r="207" spans="2:4">
      <c r="B207">
        <v>40</v>
      </c>
      <c r="C207">
        <v>3</v>
      </c>
      <c r="D207">
        <v>6</v>
      </c>
    </row>
    <row r="208" spans="2:4">
      <c r="B208">
        <v>40</v>
      </c>
      <c r="C208">
        <v>3</v>
      </c>
      <c r="D208">
        <v>6</v>
      </c>
    </row>
    <row r="209" spans="2:4">
      <c r="B209">
        <v>40</v>
      </c>
      <c r="C209">
        <v>3</v>
      </c>
      <c r="D209">
        <v>6</v>
      </c>
    </row>
    <row r="210" spans="2:4">
      <c r="B210">
        <v>40</v>
      </c>
      <c r="C210">
        <v>3</v>
      </c>
      <c r="D210">
        <v>6</v>
      </c>
    </row>
    <row r="211" spans="2:4">
      <c r="B211">
        <v>40</v>
      </c>
      <c r="C211">
        <v>3</v>
      </c>
      <c r="D211">
        <v>6</v>
      </c>
    </row>
    <row r="212" spans="2:4">
      <c r="B212">
        <v>40</v>
      </c>
      <c r="C212">
        <v>3</v>
      </c>
      <c r="D212">
        <v>6</v>
      </c>
    </row>
    <row r="213" spans="2:4">
      <c r="B213">
        <v>40</v>
      </c>
      <c r="C213">
        <v>3</v>
      </c>
      <c r="D213">
        <v>6</v>
      </c>
    </row>
    <row r="214" spans="2:4">
      <c r="B214">
        <v>40</v>
      </c>
      <c r="C214">
        <v>3</v>
      </c>
      <c r="D214">
        <v>6</v>
      </c>
    </row>
    <row r="215" spans="2:4">
      <c r="B215">
        <v>40</v>
      </c>
      <c r="C215">
        <v>3</v>
      </c>
      <c r="D215">
        <v>6</v>
      </c>
    </row>
    <row r="216" spans="2:4">
      <c r="B216">
        <v>40</v>
      </c>
      <c r="C216">
        <v>3</v>
      </c>
      <c r="D216">
        <v>6</v>
      </c>
    </row>
    <row r="217" spans="2:4">
      <c r="B217">
        <v>40</v>
      </c>
      <c r="C217">
        <v>3</v>
      </c>
      <c r="D217">
        <v>6</v>
      </c>
    </row>
    <row r="218" spans="2:4">
      <c r="B218">
        <v>40</v>
      </c>
      <c r="C218">
        <v>3</v>
      </c>
      <c r="D218">
        <v>6</v>
      </c>
    </row>
    <row r="219" spans="2:4">
      <c r="B219">
        <v>40</v>
      </c>
      <c r="C219">
        <v>3</v>
      </c>
      <c r="D219">
        <v>6</v>
      </c>
    </row>
    <row r="220" spans="2:4">
      <c r="B220">
        <v>40</v>
      </c>
      <c r="C220">
        <v>3</v>
      </c>
      <c r="D220">
        <v>6</v>
      </c>
    </row>
    <row r="221" spans="2:4">
      <c r="B221">
        <v>40</v>
      </c>
      <c r="C221">
        <v>3</v>
      </c>
      <c r="D221">
        <v>6</v>
      </c>
    </row>
    <row r="222" spans="2:4">
      <c r="B222">
        <v>40</v>
      </c>
      <c r="C222">
        <v>3</v>
      </c>
      <c r="D222">
        <v>6</v>
      </c>
    </row>
    <row r="223" spans="2:4">
      <c r="B223">
        <v>40</v>
      </c>
      <c r="C223">
        <v>3</v>
      </c>
      <c r="D223">
        <v>6</v>
      </c>
    </row>
    <row r="224" spans="2:4">
      <c r="B224">
        <v>40</v>
      </c>
      <c r="C224">
        <v>3</v>
      </c>
      <c r="D224">
        <v>6</v>
      </c>
    </row>
    <row r="225" spans="2:4">
      <c r="B225">
        <v>40</v>
      </c>
      <c r="C225">
        <v>3</v>
      </c>
      <c r="D225">
        <v>6</v>
      </c>
    </row>
    <row r="226" spans="2:4">
      <c r="B226">
        <v>40</v>
      </c>
      <c r="C226">
        <v>3</v>
      </c>
      <c r="D226">
        <v>6</v>
      </c>
    </row>
    <row r="227" spans="2:4">
      <c r="B227">
        <v>40</v>
      </c>
      <c r="C227">
        <v>3</v>
      </c>
      <c r="D227">
        <v>6</v>
      </c>
    </row>
    <row r="228" spans="2:4">
      <c r="B228">
        <v>40</v>
      </c>
      <c r="C228">
        <v>3</v>
      </c>
      <c r="D228">
        <v>6</v>
      </c>
    </row>
    <row r="229" spans="2:4">
      <c r="B229">
        <v>40</v>
      </c>
      <c r="C229">
        <v>3</v>
      </c>
      <c r="D229">
        <v>6</v>
      </c>
    </row>
    <row r="230" spans="2:4">
      <c r="B230">
        <v>40</v>
      </c>
      <c r="C230">
        <v>3</v>
      </c>
      <c r="D230">
        <v>6</v>
      </c>
    </row>
    <row r="231" spans="2:4">
      <c r="B231">
        <v>40</v>
      </c>
      <c r="C231">
        <v>3</v>
      </c>
      <c r="D231">
        <v>6</v>
      </c>
    </row>
    <row r="232" spans="2:4">
      <c r="B232">
        <v>40</v>
      </c>
      <c r="C232">
        <v>3</v>
      </c>
      <c r="D232">
        <v>6</v>
      </c>
    </row>
    <row r="233" spans="2:4">
      <c r="B233">
        <v>40</v>
      </c>
      <c r="C233">
        <v>3</v>
      </c>
      <c r="D233">
        <v>6</v>
      </c>
    </row>
    <row r="234" spans="2:4">
      <c r="B234">
        <v>40</v>
      </c>
      <c r="C234">
        <v>3</v>
      </c>
      <c r="D234">
        <v>6</v>
      </c>
    </row>
    <row r="235" spans="2:4">
      <c r="B235">
        <v>40</v>
      </c>
      <c r="C235">
        <v>3</v>
      </c>
      <c r="D235">
        <v>6</v>
      </c>
    </row>
    <row r="236" spans="2:4">
      <c r="B236">
        <v>40</v>
      </c>
      <c r="C236">
        <v>3</v>
      </c>
      <c r="D236">
        <v>6</v>
      </c>
    </row>
    <row r="237" spans="2:4">
      <c r="B237">
        <v>40</v>
      </c>
      <c r="C237">
        <v>3</v>
      </c>
      <c r="D237">
        <v>6</v>
      </c>
    </row>
    <row r="238" spans="2:4">
      <c r="B238">
        <v>40</v>
      </c>
      <c r="C238">
        <v>3</v>
      </c>
      <c r="D238">
        <v>6</v>
      </c>
    </row>
    <row r="239" spans="2:4">
      <c r="B239">
        <v>40</v>
      </c>
      <c r="C239">
        <v>3</v>
      </c>
      <c r="D239">
        <v>6</v>
      </c>
    </row>
    <row r="240" spans="2:4">
      <c r="B240">
        <v>40</v>
      </c>
      <c r="C240">
        <v>3</v>
      </c>
      <c r="D240">
        <v>6</v>
      </c>
    </row>
    <row r="241" spans="2:4">
      <c r="B241">
        <v>40</v>
      </c>
      <c r="C241">
        <v>3</v>
      </c>
      <c r="D241">
        <v>6</v>
      </c>
    </row>
    <row r="242" spans="2:4">
      <c r="B242">
        <v>40</v>
      </c>
      <c r="C242">
        <v>3</v>
      </c>
      <c r="D242">
        <v>6</v>
      </c>
    </row>
    <row r="243" spans="2:4">
      <c r="B243">
        <v>40</v>
      </c>
      <c r="C243">
        <v>3</v>
      </c>
      <c r="D243">
        <v>6</v>
      </c>
    </row>
    <row r="244" spans="2:4">
      <c r="B244">
        <v>40</v>
      </c>
      <c r="C244">
        <v>3</v>
      </c>
      <c r="D244">
        <v>6</v>
      </c>
    </row>
    <row r="245" spans="2:4">
      <c r="B245">
        <v>40</v>
      </c>
      <c r="C245">
        <v>3</v>
      </c>
      <c r="D245">
        <v>6</v>
      </c>
    </row>
    <row r="246" spans="2:4">
      <c r="B246">
        <v>40</v>
      </c>
      <c r="C246">
        <v>3</v>
      </c>
      <c r="D246">
        <v>6</v>
      </c>
    </row>
    <row r="247" spans="2:4">
      <c r="B247">
        <v>40</v>
      </c>
      <c r="C247">
        <v>3</v>
      </c>
      <c r="D247">
        <v>6</v>
      </c>
    </row>
    <row r="248" spans="2:4">
      <c r="B248">
        <v>40</v>
      </c>
      <c r="C248">
        <v>3</v>
      </c>
      <c r="D248">
        <v>6</v>
      </c>
    </row>
    <row r="249" spans="2:4">
      <c r="B249">
        <v>40</v>
      </c>
      <c r="C249">
        <v>3</v>
      </c>
      <c r="D249">
        <v>6</v>
      </c>
    </row>
    <row r="250" spans="2:4">
      <c r="B250">
        <v>40</v>
      </c>
      <c r="C250">
        <v>3</v>
      </c>
      <c r="D250">
        <v>6</v>
      </c>
    </row>
    <row r="251" spans="2:4">
      <c r="B251">
        <v>40</v>
      </c>
      <c r="C251">
        <v>3</v>
      </c>
      <c r="D251">
        <v>6</v>
      </c>
    </row>
    <row r="252" spans="2:4">
      <c r="B252">
        <v>40</v>
      </c>
      <c r="C252">
        <v>3</v>
      </c>
      <c r="D252">
        <v>6</v>
      </c>
    </row>
    <row r="253" spans="2:4">
      <c r="B253">
        <v>40</v>
      </c>
      <c r="C253">
        <v>3</v>
      </c>
      <c r="D253">
        <v>6</v>
      </c>
    </row>
    <row r="254" spans="2:4">
      <c r="B254">
        <v>40</v>
      </c>
      <c r="C254">
        <v>3</v>
      </c>
      <c r="D254">
        <v>6</v>
      </c>
    </row>
    <row r="255" spans="2:4">
      <c r="B255">
        <v>40</v>
      </c>
      <c r="C255">
        <v>3</v>
      </c>
      <c r="D255">
        <v>6</v>
      </c>
    </row>
    <row r="256" spans="2:4">
      <c r="B256">
        <v>40</v>
      </c>
      <c r="C256">
        <v>3</v>
      </c>
      <c r="D256">
        <v>6</v>
      </c>
    </row>
    <row r="257" spans="2:4">
      <c r="B257">
        <v>40</v>
      </c>
      <c r="C257">
        <v>3</v>
      </c>
      <c r="D257">
        <v>6</v>
      </c>
    </row>
    <row r="258" spans="2:4">
      <c r="B258">
        <v>40</v>
      </c>
      <c r="C258">
        <v>3</v>
      </c>
      <c r="D258">
        <v>6</v>
      </c>
    </row>
    <row r="259" spans="2:4">
      <c r="B259">
        <v>40</v>
      </c>
      <c r="C259">
        <v>3</v>
      </c>
      <c r="D259">
        <v>6</v>
      </c>
    </row>
    <row r="260" spans="2:4">
      <c r="B260">
        <v>40</v>
      </c>
      <c r="C260">
        <v>3</v>
      </c>
      <c r="D260">
        <v>6</v>
      </c>
    </row>
    <row r="261" spans="2:4">
      <c r="B261">
        <v>40</v>
      </c>
      <c r="C261">
        <v>3</v>
      </c>
      <c r="D261">
        <v>6</v>
      </c>
    </row>
    <row r="262" spans="2:4">
      <c r="B262">
        <v>40</v>
      </c>
      <c r="C262">
        <v>3</v>
      </c>
      <c r="D262">
        <v>6</v>
      </c>
    </row>
    <row r="263" spans="2:4">
      <c r="B263">
        <v>40</v>
      </c>
      <c r="C263">
        <v>3</v>
      </c>
      <c r="D263">
        <v>6</v>
      </c>
    </row>
    <row r="264" spans="2:4">
      <c r="B264">
        <v>40</v>
      </c>
      <c r="C264">
        <v>3</v>
      </c>
      <c r="D264">
        <v>6</v>
      </c>
    </row>
    <row r="265" spans="2:4">
      <c r="B265">
        <v>40</v>
      </c>
      <c r="C265">
        <v>3</v>
      </c>
      <c r="D265">
        <v>6</v>
      </c>
    </row>
    <row r="266" spans="2:4">
      <c r="B266">
        <v>40</v>
      </c>
      <c r="C266">
        <v>3</v>
      </c>
      <c r="D266">
        <v>6</v>
      </c>
    </row>
    <row r="267" spans="2:4">
      <c r="B267">
        <v>40</v>
      </c>
      <c r="C267">
        <v>3</v>
      </c>
      <c r="D267">
        <v>6</v>
      </c>
    </row>
    <row r="268" spans="2:4">
      <c r="B268">
        <v>40</v>
      </c>
      <c r="C268">
        <v>3</v>
      </c>
      <c r="D268">
        <v>6</v>
      </c>
    </row>
    <row r="269" spans="2:4">
      <c r="B269">
        <v>40</v>
      </c>
      <c r="C269">
        <v>3</v>
      </c>
      <c r="D269">
        <v>6</v>
      </c>
    </row>
    <row r="270" spans="2:4">
      <c r="B270">
        <v>40</v>
      </c>
      <c r="C270">
        <v>3</v>
      </c>
      <c r="D270">
        <v>6</v>
      </c>
    </row>
    <row r="271" spans="2:4">
      <c r="B271">
        <v>40</v>
      </c>
      <c r="C271">
        <v>3</v>
      </c>
      <c r="D271">
        <v>6</v>
      </c>
    </row>
    <row r="272" spans="2:4">
      <c r="B272">
        <v>40</v>
      </c>
      <c r="C272">
        <v>3</v>
      </c>
      <c r="D272">
        <v>6</v>
      </c>
    </row>
    <row r="273" spans="2:4">
      <c r="B273">
        <v>40</v>
      </c>
      <c r="C273">
        <v>3</v>
      </c>
      <c r="D273">
        <v>6</v>
      </c>
    </row>
    <row r="274" spans="2:4">
      <c r="B274">
        <v>40</v>
      </c>
      <c r="C274">
        <v>3</v>
      </c>
      <c r="D274">
        <v>6</v>
      </c>
    </row>
    <row r="275" spans="2:4">
      <c r="B275">
        <v>40</v>
      </c>
      <c r="C275">
        <v>3</v>
      </c>
      <c r="D275">
        <v>6</v>
      </c>
    </row>
    <row r="276" spans="2:4">
      <c r="B276">
        <v>40</v>
      </c>
      <c r="C276">
        <v>3</v>
      </c>
      <c r="D276">
        <v>6</v>
      </c>
    </row>
    <row r="277" spans="2:4">
      <c r="B277">
        <v>40</v>
      </c>
      <c r="C277">
        <v>3</v>
      </c>
      <c r="D277">
        <v>6</v>
      </c>
    </row>
    <row r="278" spans="2:4">
      <c r="B278">
        <v>40</v>
      </c>
      <c r="C278">
        <v>3</v>
      </c>
      <c r="D278">
        <v>6</v>
      </c>
    </row>
    <row r="279" spans="2:4">
      <c r="B279">
        <v>40</v>
      </c>
      <c r="C279">
        <v>3</v>
      </c>
      <c r="D279">
        <v>6</v>
      </c>
    </row>
    <row r="280" spans="2:4">
      <c r="B280">
        <v>40</v>
      </c>
      <c r="C280">
        <v>3</v>
      </c>
      <c r="D280">
        <v>6</v>
      </c>
    </row>
    <row r="281" spans="2:4">
      <c r="B281">
        <v>40</v>
      </c>
      <c r="C281">
        <v>3</v>
      </c>
      <c r="D281">
        <v>6</v>
      </c>
    </row>
    <row r="282" spans="2:4">
      <c r="B282">
        <v>40</v>
      </c>
      <c r="C282">
        <v>3</v>
      </c>
      <c r="D282">
        <v>6</v>
      </c>
    </row>
    <row r="283" spans="2:4">
      <c r="B283">
        <v>40</v>
      </c>
      <c r="C283">
        <v>3</v>
      </c>
      <c r="D283">
        <v>6</v>
      </c>
    </row>
    <row r="284" spans="2:4">
      <c r="B284">
        <v>40</v>
      </c>
      <c r="C284">
        <v>3</v>
      </c>
      <c r="D284">
        <v>6</v>
      </c>
    </row>
    <row r="285" spans="2:4">
      <c r="B285">
        <v>40</v>
      </c>
      <c r="C285">
        <v>3</v>
      </c>
      <c r="D285">
        <v>6</v>
      </c>
    </row>
    <row r="286" spans="2:4">
      <c r="B286">
        <v>40</v>
      </c>
      <c r="C286">
        <v>3</v>
      </c>
      <c r="D286">
        <v>6</v>
      </c>
    </row>
    <row r="287" spans="2:4">
      <c r="B287">
        <v>40</v>
      </c>
      <c r="C287">
        <v>3</v>
      </c>
      <c r="D287">
        <v>6</v>
      </c>
    </row>
    <row r="288" spans="2:4">
      <c r="B288">
        <v>40</v>
      </c>
      <c r="C288">
        <v>3</v>
      </c>
      <c r="D288">
        <v>6</v>
      </c>
    </row>
    <row r="289" spans="2:4">
      <c r="B289">
        <v>40</v>
      </c>
      <c r="C289">
        <v>3</v>
      </c>
      <c r="D289">
        <v>6</v>
      </c>
    </row>
    <row r="290" spans="2:4">
      <c r="B290">
        <v>40</v>
      </c>
      <c r="C290">
        <v>3</v>
      </c>
      <c r="D290">
        <v>6</v>
      </c>
    </row>
    <row r="291" spans="2:4">
      <c r="B291">
        <v>40</v>
      </c>
      <c r="C291">
        <v>3</v>
      </c>
      <c r="D291">
        <v>6</v>
      </c>
    </row>
    <row r="292" spans="2:4">
      <c r="B292">
        <v>40</v>
      </c>
      <c r="C292">
        <v>3</v>
      </c>
      <c r="D292">
        <v>6</v>
      </c>
    </row>
    <row r="293" spans="2:4">
      <c r="B293">
        <v>40</v>
      </c>
      <c r="C293">
        <v>3</v>
      </c>
      <c r="D293">
        <v>6</v>
      </c>
    </row>
    <row r="294" spans="2:4">
      <c r="B294">
        <v>40</v>
      </c>
      <c r="C294">
        <v>3</v>
      </c>
      <c r="D294">
        <v>6</v>
      </c>
    </row>
    <row r="295" spans="2:4">
      <c r="B295">
        <v>40</v>
      </c>
      <c r="C295">
        <v>3</v>
      </c>
      <c r="D295">
        <v>6</v>
      </c>
    </row>
    <row r="296" spans="2:4">
      <c r="B296">
        <v>40</v>
      </c>
      <c r="C296">
        <v>3</v>
      </c>
      <c r="D296">
        <v>6</v>
      </c>
    </row>
    <row r="297" spans="2:4">
      <c r="B297">
        <v>40</v>
      </c>
      <c r="C297">
        <v>3</v>
      </c>
      <c r="D297">
        <v>6</v>
      </c>
    </row>
    <row r="298" spans="2:4">
      <c r="B298">
        <v>40</v>
      </c>
      <c r="C298">
        <v>3</v>
      </c>
      <c r="D298">
        <v>6</v>
      </c>
    </row>
    <row r="299" spans="2:4">
      <c r="B299">
        <v>40</v>
      </c>
      <c r="C299">
        <v>3</v>
      </c>
      <c r="D299">
        <v>6</v>
      </c>
    </row>
    <row r="300" spans="2:4">
      <c r="B300">
        <v>40</v>
      </c>
      <c r="C300">
        <v>3</v>
      </c>
      <c r="D300">
        <v>6</v>
      </c>
    </row>
    <row r="301" spans="2:4">
      <c r="B301">
        <v>40</v>
      </c>
      <c r="C301">
        <v>3</v>
      </c>
      <c r="D301">
        <v>6</v>
      </c>
    </row>
    <row r="302" spans="2:4">
      <c r="B302">
        <v>40</v>
      </c>
      <c r="C302">
        <v>3</v>
      </c>
      <c r="D302">
        <v>6</v>
      </c>
    </row>
    <row r="303" spans="2:4">
      <c r="B303">
        <v>40</v>
      </c>
      <c r="C303">
        <v>3</v>
      </c>
      <c r="D303">
        <v>6</v>
      </c>
    </row>
    <row r="304" spans="2:4">
      <c r="B304">
        <v>40</v>
      </c>
      <c r="C304">
        <v>3</v>
      </c>
      <c r="D304">
        <v>6</v>
      </c>
    </row>
    <row r="305" spans="2:4">
      <c r="B305">
        <v>40</v>
      </c>
      <c r="C305">
        <v>3</v>
      </c>
      <c r="D305">
        <v>6</v>
      </c>
    </row>
    <row r="306" spans="2:4">
      <c r="B306">
        <v>40</v>
      </c>
      <c r="C306">
        <v>3</v>
      </c>
      <c r="D306">
        <v>6</v>
      </c>
    </row>
    <row r="307" spans="2:4">
      <c r="B307">
        <v>40</v>
      </c>
      <c r="C307">
        <v>3</v>
      </c>
      <c r="D307">
        <v>6</v>
      </c>
    </row>
    <row r="308" spans="2:4">
      <c r="B308">
        <v>40</v>
      </c>
      <c r="C308">
        <v>3</v>
      </c>
      <c r="D308">
        <v>6</v>
      </c>
    </row>
    <row r="309" spans="2:4">
      <c r="B309">
        <v>40</v>
      </c>
      <c r="C309">
        <v>3</v>
      </c>
      <c r="D309">
        <v>6</v>
      </c>
    </row>
    <row r="310" spans="2:4">
      <c r="B310">
        <v>40</v>
      </c>
      <c r="C310">
        <v>3</v>
      </c>
      <c r="D310">
        <v>6</v>
      </c>
    </row>
    <row r="311" spans="2:4">
      <c r="B311">
        <v>40</v>
      </c>
      <c r="C311">
        <v>3</v>
      </c>
      <c r="D311">
        <v>6</v>
      </c>
    </row>
    <row r="312" spans="2:4">
      <c r="B312">
        <v>40</v>
      </c>
      <c r="C312">
        <v>3</v>
      </c>
      <c r="D312">
        <v>6</v>
      </c>
    </row>
    <row r="313" spans="2:4">
      <c r="B313">
        <v>40</v>
      </c>
      <c r="C313">
        <v>3</v>
      </c>
      <c r="D313">
        <v>6</v>
      </c>
    </row>
    <row r="314" spans="2:4">
      <c r="B314">
        <v>40</v>
      </c>
      <c r="C314">
        <v>3</v>
      </c>
      <c r="D314">
        <v>6</v>
      </c>
    </row>
    <row r="315" spans="2:4">
      <c r="B315">
        <v>40</v>
      </c>
      <c r="C315">
        <v>3</v>
      </c>
      <c r="D315">
        <v>6</v>
      </c>
    </row>
    <row r="316" spans="2:4">
      <c r="B316">
        <v>40</v>
      </c>
      <c r="C316">
        <v>3</v>
      </c>
      <c r="D316">
        <v>6</v>
      </c>
    </row>
    <row r="317" spans="2:4">
      <c r="B317">
        <v>40</v>
      </c>
      <c r="C317">
        <v>3</v>
      </c>
      <c r="D317">
        <v>6</v>
      </c>
    </row>
    <row r="318" spans="2:4">
      <c r="B318">
        <v>40</v>
      </c>
      <c r="C318">
        <v>3</v>
      </c>
      <c r="D318">
        <v>6</v>
      </c>
    </row>
    <row r="319" spans="2:4">
      <c r="B319">
        <v>40</v>
      </c>
      <c r="C319">
        <v>3</v>
      </c>
      <c r="D319">
        <v>6</v>
      </c>
    </row>
    <row r="320" spans="2:4">
      <c r="B320">
        <v>40</v>
      </c>
      <c r="C320">
        <v>3</v>
      </c>
      <c r="D320">
        <v>6</v>
      </c>
    </row>
    <row r="321" spans="2:4">
      <c r="B321">
        <v>40</v>
      </c>
      <c r="C321">
        <v>3</v>
      </c>
      <c r="D321">
        <v>6</v>
      </c>
    </row>
    <row r="322" spans="2:4">
      <c r="B322">
        <v>40</v>
      </c>
      <c r="C322">
        <v>3</v>
      </c>
      <c r="D322">
        <v>6</v>
      </c>
    </row>
    <row r="323" spans="2:4">
      <c r="B323">
        <v>40</v>
      </c>
      <c r="C323">
        <v>3</v>
      </c>
      <c r="D323">
        <v>6</v>
      </c>
    </row>
    <row r="324" spans="2:4">
      <c r="B324">
        <v>40</v>
      </c>
      <c r="C324">
        <v>3</v>
      </c>
      <c r="D324">
        <v>6</v>
      </c>
    </row>
    <row r="325" spans="2:4">
      <c r="B325">
        <v>40</v>
      </c>
      <c r="C325">
        <v>3</v>
      </c>
      <c r="D325">
        <v>6</v>
      </c>
    </row>
    <row r="326" spans="2:4">
      <c r="B326">
        <v>40</v>
      </c>
      <c r="C326">
        <v>3</v>
      </c>
      <c r="D326">
        <v>6</v>
      </c>
    </row>
    <row r="327" spans="2:4">
      <c r="B327">
        <v>40</v>
      </c>
      <c r="C327">
        <v>3</v>
      </c>
      <c r="D327">
        <v>6</v>
      </c>
    </row>
    <row r="328" spans="2:4">
      <c r="B328">
        <v>40</v>
      </c>
      <c r="C328">
        <v>3</v>
      </c>
      <c r="D328">
        <v>6</v>
      </c>
    </row>
    <row r="329" spans="2:4">
      <c r="B329">
        <v>40</v>
      </c>
      <c r="C329">
        <v>3</v>
      </c>
      <c r="D329">
        <v>6</v>
      </c>
    </row>
    <row r="330" spans="2:4">
      <c r="B330">
        <v>40</v>
      </c>
      <c r="C330">
        <v>3</v>
      </c>
      <c r="D330">
        <v>6</v>
      </c>
    </row>
    <row r="331" spans="2:4">
      <c r="B331">
        <v>40</v>
      </c>
      <c r="C331">
        <v>3</v>
      </c>
      <c r="D331">
        <v>6</v>
      </c>
    </row>
    <row r="332" spans="2:4">
      <c r="B332">
        <v>40</v>
      </c>
      <c r="C332">
        <v>3</v>
      </c>
      <c r="D332">
        <v>6</v>
      </c>
    </row>
    <row r="333" spans="2:4">
      <c r="B333">
        <v>40</v>
      </c>
      <c r="C333">
        <v>3</v>
      </c>
      <c r="D333">
        <v>6</v>
      </c>
    </row>
    <row r="334" spans="2:4">
      <c r="B334">
        <v>40</v>
      </c>
      <c r="C334">
        <v>3</v>
      </c>
      <c r="D334">
        <v>6</v>
      </c>
    </row>
    <row r="335" spans="2:4">
      <c r="B335">
        <v>40</v>
      </c>
      <c r="C335">
        <v>3</v>
      </c>
      <c r="D335">
        <v>6</v>
      </c>
    </row>
    <row r="336" spans="2:4">
      <c r="B336">
        <v>40</v>
      </c>
      <c r="C336">
        <v>3</v>
      </c>
      <c r="D336">
        <v>6</v>
      </c>
    </row>
    <row r="337" spans="2:4">
      <c r="B337">
        <v>40</v>
      </c>
      <c r="C337">
        <v>3</v>
      </c>
      <c r="D337">
        <v>6</v>
      </c>
    </row>
    <row r="338" spans="2:4">
      <c r="B338">
        <v>40</v>
      </c>
      <c r="C338">
        <v>3</v>
      </c>
      <c r="D338">
        <v>6</v>
      </c>
    </row>
    <row r="339" spans="2:4">
      <c r="B339">
        <v>40</v>
      </c>
      <c r="C339">
        <v>3</v>
      </c>
      <c r="D339">
        <v>6</v>
      </c>
    </row>
    <row r="340" spans="2:4">
      <c r="B340">
        <v>40</v>
      </c>
      <c r="C340">
        <v>3</v>
      </c>
      <c r="D340">
        <v>6</v>
      </c>
    </row>
    <row r="341" spans="2:4">
      <c r="B341">
        <v>40</v>
      </c>
      <c r="C341">
        <v>3</v>
      </c>
      <c r="D341">
        <v>6</v>
      </c>
    </row>
    <row r="342" spans="2:4">
      <c r="B342">
        <v>40</v>
      </c>
      <c r="C342">
        <v>3</v>
      </c>
      <c r="D342">
        <v>6</v>
      </c>
    </row>
    <row r="343" spans="2:4">
      <c r="B343">
        <v>40</v>
      </c>
      <c r="C343">
        <v>3</v>
      </c>
      <c r="D343">
        <v>6</v>
      </c>
    </row>
    <row r="344" spans="2:4">
      <c r="B344">
        <v>40</v>
      </c>
      <c r="C344">
        <v>3</v>
      </c>
      <c r="D344">
        <v>6</v>
      </c>
    </row>
    <row r="345" spans="2:4">
      <c r="B345">
        <v>40</v>
      </c>
      <c r="C345">
        <v>3</v>
      </c>
      <c r="D345">
        <v>6</v>
      </c>
    </row>
    <row r="346" spans="2:4">
      <c r="B346">
        <v>40</v>
      </c>
      <c r="C346">
        <v>3</v>
      </c>
      <c r="D346">
        <v>6</v>
      </c>
    </row>
    <row r="347" spans="2:4">
      <c r="B347">
        <v>40</v>
      </c>
      <c r="C347">
        <v>3</v>
      </c>
      <c r="D347">
        <v>6</v>
      </c>
    </row>
    <row r="348" spans="2:4">
      <c r="B348">
        <v>40</v>
      </c>
      <c r="C348">
        <v>3</v>
      </c>
      <c r="D348">
        <v>6</v>
      </c>
    </row>
    <row r="349" spans="2:4">
      <c r="B349">
        <v>40</v>
      </c>
      <c r="C349">
        <v>3</v>
      </c>
      <c r="D349">
        <v>6</v>
      </c>
    </row>
    <row r="350" spans="2:4">
      <c r="B350">
        <v>40</v>
      </c>
      <c r="C350">
        <v>3</v>
      </c>
      <c r="D350">
        <v>6</v>
      </c>
    </row>
    <row r="351" spans="2:4">
      <c r="B351">
        <v>40</v>
      </c>
      <c r="C351">
        <v>3</v>
      </c>
      <c r="D351">
        <v>6</v>
      </c>
    </row>
    <row r="352" spans="2:4">
      <c r="B352">
        <v>40</v>
      </c>
      <c r="C352">
        <v>3</v>
      </c>
      <c r="D352">
        <v>6</v>
      </c>
    </row>
    <row r="353" spans="2:4">
      <c r="B353">
        <v>40</v>
      </c>
      <c r="C353">
        <v>3</v>
      </c>
      <c r="D353">
        <v>6</v>
      </c>
    </row>
    <row r="354" spans="2:4">
      <c r="B354">
        <v>40</v>
      </c>
      <c r="C354">
        <v>3</v>
      </c>
      <c r="D354">
        <v>6</v>
      </c>
    </row>
    <row r="355" spans="2:4">
      <c r="B355">
        <v>40</v>
      </c>
      <c r="C355">
        <v>3</v>
      </c>
      <c r="D355">
        <v>6</v>
      </c>
    </row>
    <row r="356" spans="2:4">
      <c r="B356">
        <v>40</v>
      </c>
      <c r="C356">
        <v>3</v>
      </c>
      <c r="D356">
        <v>6</v>
      </c>
    </row>
    <row r="357" spans="2:4">
      <c r="B357">
        <v>40</v>
      </c>
      <c r="C357">
        <v>3</v>
      </c>
      <c r="D357">
        <v>6</v>
      </c>
    </row>
    <row r="358" spans="2:4">
      <c r="B358">
        <v>40</v>
      </c>
      <c r="C358">
        <v>3</v>
      </c>
      <c r="D358">
        <v>6</v>
      </c>
    </row>
    <row r="359" spans="2:4">
      <c r="B359">
        <v>40</v>
      </c>
      <c r="C359">
        <v>3</v>
      </c>
      <c r="D359">
        <v>6</v>
      </c>
    </row>
    <row r="360" spans="2:4">
      <c r="B360">
        <v>40</v>
      </c>
      <c r="C360">
        <v>3</v>
      </c>
      <c r="D360">
        <v>6</v>
      </c>
    </row>
    <row r="361" spans="2:4">
      <c r="B361">
        <v>40</v>
      </c>
      <c r="C361">
        <v>3</v>
      </c>
      <c r="D361">
        <v>6</v>
      </c>
    </row>
    <row r="362" spans="2:4">
      <c r="B362">
        <v>40</v>
      </c>
      <c r="C362">
        <v>3</v>
      </c>
      <c r="D362">
        <v>6</v>
      </c>
    </row>
    <row r="363" spans="2:4">
      <c r="B363">
        <v>40</v>
      </c>
      <c r="C363">
        <v>3</v>
      </c>
      <c r="D363">
        <v>6</v>
      </c>
    </row>
    <row r="364" spans="2:4">
      <c r="B364">
        <v>40</v>
      </c>
      <c r="C364">
        <v>3</v>
      </c>
      <c r="D364">
        <v>6</v>
      </c>
    </row>
    <row r="365" spans="2:4">
      <c r="B365">
        <v>40</v>
      </c>
      <c r="C365">
        <v>3</v>
      </c>
      <c r="D365">
        <v>6</v>
      </c>
    </row>
    <row r="366" spans="2:4">
      <c r="B366">
        <v>40</v>
      </c>
      <c r="C366">
        <v>3</v>
      </c>
      <c r="D366">
        <v>6</v>
      </c>
    </row>
    <row r="367" spans="2:4">
      <c r="B367">
        <v>40</v>
      </c>
      <c r="C367">
        <v>3</v>
      </c>
      <c r="D367">
        <v>6</v>
      </c>
    </row>
    <row r="368" spans="2:4">
      <c r="B368">
        <v>40</v>
      </c>
      <c r="C368">
        <v>3</v>
      </c>
      <c r="D368">
        <v>6</v>
      </c>
    </row>
    <row r="369" spans="2:4">
      <c r="B369">
        <v>40</v>
      </c>
      <c r="C369">
        <v>3</v>
      </c>
      <c r="D369">
        <v>6</v>
      </c>
    </row>
    <row r="370" spans="2:4">
      <c r="B370">
        <v>40</v>
      </c>
      <c r="C370">
        <v>3</v>
      </c>
      <c r="D370">
        <v>6</v>
      </c>
    </row>
    <row r="371" spans="2:4">
      <c r="B371">
        <v>40</v>
      </c>
      <c r="C371">
        <v>3</v>
      </c>
      <c r="D371">
        <v>6</v>
      </c>
    </row>
    <row r="372" spans="2:4">
      <c r="B372">
        <v>40</v>
      </c>
      <c r="C372">
        <v>3</v>
      </c>
      <c r="D372">
        <v>6</v>
      </c>
    </row>
    <row r="373" spans="2:4">
      <c r="B373">
        <v>40</v>
      </c>
      <c r="C373">
        <v>3</v>
      </c>
      <c r="D373">
        <v>6</v>
      </c>
    </row>
    <row r="374" spans="2:4">
      <c r="B374">
        <v>40</v>
      </c>
      <c r="C374">
        <v>3</v>
      </c>
      <c r="D374">
        <v>6</v>
      </c>
    </row>
    <row r="375" spans="2:4">
      <c r="B375">
        <v>40</v>
      </c>
      <c r="C375">
        <v>3</v>
      </c>
      <c r="D375">
        <v>6</v>
      </c>
    </row>
    <row r="376" spans="2:4">
      <c r="B376">
        <v>40</v>
      </c>
      <c r="C376">
        <v>3</v>
      </c>
      <c r="D376">
        <v>6</v>
      </c>
    </row>
    <row r="377" spans="2:4">
      <c r="B377">
        <v>40</v>
      </c>
      <c r="C377">
        <v>3</v>
      </c>
      <c r="D377">
        <v>6</v>
      </c>
    </row>
    <row r="378" spans="2:4">
      <c r="B378">
        <v>40</v>
      </c>
      <c r="C378">
        <v>3</v>
      </c>
      <c r="D378">
        <v>6</v>
      </c>
    </row>
    <row r="379" spans="2:4">
      <c r="B379">
        <v>40</v>
      </c>
      <c r="C379">
        <v>3</v>
      </c>
      <c r="D379">
        <v>6</v>
      </c>
    </row>
    <row r="380" spans="2:4">
      <c r="B380">
        <v>40</v>
      </c>
      <c r="C380">
        <v>3</v>
      </c>
      <c r="D380">
        <v>6</v>
      </c>
    </row>
    <row r="381" spans="2:4">
      <c r="B381">
        <v>40</v>
      </c>
      <c r="C381">
        <v>3</v>
      </c>
      <c r="D381">
        <v>6</v>
      </c>
    </row>
    <row r="382" spans="2:4">
      <c r="B382">
        <v>40</v>
      </c>
      <c r="C382">
        <v>3</v>
      </c>
      <c r="D382">
        <v>6</v>
      </c>
    </row>
    <row r="383" spans="2:4">
      <c r="B383">
        <v>40</v>
      </c>
      <c r="C383">
        <v>3</v>
      </c>
      <c r="D383">
        <v>6</v>
      </c>
    </row>
    <row r="384" spans="2:4">
      <c r="B384">
        <v>40</v>
      </c>
      <c r="C384">
        <v>3</v>
      </c>
      <c r="D384">
        <v>6</v>
      </c>
    </row>
    <row r="385" spans="2:4">
      <c r="B385">
        <v>40</v>
      </c>
      <c r="C385">
        <v>3</v>
      </c>
      <c r="D385">
        <v>6</v>
      </c>
    </row>
    <row r="386" spans="2:4">
      <c r="B386">
        <v>40</v>
      </c>
      <c r="C386">
        <v>3</v>
      </c>
      <c r="D386">
        <v>6</v>
      </c>
    </row>
    <row r="387" spans="2:4">
      <c r="B387">
        <v>40</v>
      </c>
      <c r="C387">
        <v>3</v>
      </c>
      <c r="D387">
        <v>6</v>
      </c>
    </row>
    <row r="388" spans="2:4">
      <c r="B388">
        <v>40</v>
      </c>
      <c r="C388">
        <v>3</v>
      </c>
      <c r="D388">
        <v>6</v>
      </c>
    </row>
    <row r="389" spans="2:4">
      <c r="B389">
        <v>40</v>
      </c>
      <c r="C389">
        <v>3</v>
      </c>
      <c r="D389">
        <v>6</v>
      </c>
    </row>
    <row r="390" spans="2:4">
      <c r="B390">
        <v>40</v>
      </c>
      <c r="C390">
        <v>3</v>
      </c>
      <c r="D390">
        <v>6</v>
      </c>
    </row>
    <row r="391" spans="2:4">
      <c r="B391">
        <v>40</v>
      </c>
      <c r="C391">
        <v>3</v>
      </c>
      <c r="D391">
        <v>6</v>
      </c>
    </row>
    <row r="392" spans="2:4">
      <c r="B392">
        <v>40</v>
      </c>
      <c r="C392">
        <v>3</v>
      </c>
      <c r="D392">
        <v>6</v>
      </c>
    </row>
  </sheetData>
  <sortState xmlns:xlrd2="http://schemas.microsoft.com/office/spreadsheetml/2017/richdata2" ref="J40:J59">
    <sortCondition ref="J40:J59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705CA-33DE-4CD6-8CA3-1E3F936164F7}">
  <sheetPr codeName="Folha2"/>
  <dimension ref="A1:G24"/>
  <sheetViews>
    <sheetView workbookViewId="0">
      <selection activeCell="F17" sqref="F17"/>
    </sheetView>
  </sheetViews>
  <sheetFormatPr defaultRowHeight="15"/>
  <cols>
    <col min="1" max="1" width="20" bestFit="1" customWidth="1"/>
    <col min="2" max="3" width="11.140625" customWidth="1"/>
    <col min="5" max="6" width="14.7109375" bestFit="1" customWidth="1"/>
  </cols>
  <sheetData>
    <row r="1" spans="1:7">
      <c r="A1" t="s">
        <v>0</v>
      </c>
      <c r="B1" t="s">
        <v>21</v>
      </c>
      <c r="C1" t="s">
        <v>1</v>
      </c>
      <c r="D1" t="s">
        <v>2</v>
      </c>
    </row>
    <row r="2" spans="1:7">
      <c r="A2" t="s">
        <v>159</v>
      </c>
      <c r="B2">
        <v>106027</v>
      </c>
      <c r="C2">
        <v>1</v>
      </c>
      <c r="D2">
        <v>10</v>
      </c>
      <c r="G2" s="1"/>
    </row>
    <row r="3" spans="1:7">
      <c r="A3" t="s">
        <v>160</v>
      </c>
      <c r="B3">
        <v>106027</v>
      </c>
      <c r="C3">
        <v>1</v>
      </c>
      <c r="D3">
        <v>10</v>
      </c>
    </row>
    <row r="4" spans="1:7">
      <c r="A4" t="s">
        <v>161</v>
      </c>
      <c r="B4">
        <v>106027</v>
      </c>
      <c r="C4">
        <v>1</v>
      </c>
      <c r="D4">
        <v>10</v>
      </c>
    </row>
    <row r="5" spans="1:7">
      <c r="A5" t="s">
        <v>162</v>
      </c>
      <c r="B5">
        <v>106027</v>
      </c>
      <c r="C5">
        <v>1</v>
      </c>
      <c r="D5">
        <v>40</v>
      </c>
    </row>
    <row r="6" spans="1:7">
      <c r="A6" t="s">
        <v>163</v>
      </c>
      <c r="B6">
        <v>106027</v>
      </c>
      <c r="C6">
        <v>1</v>
      </c>
      <c r="D6">
        <v>20</v>
      </c>
    </row>
    <row r="7" spans="1:7">
      <c r="A7" t="s">
        <v>164</v>
      </c>
      <c r="B7">
        <v>106027</v>
      </c>
      <c r="C7">
        <v>1</v>
      </c>
      <c r="D7">
        <v>220</v>
      </c>
    </row>
    <row r="8" spans="1:7">
      <c r="A8" t="s">
        <v>165</v>
      </c>
      <c r="B8">
        <v>106027</v>
      </c>
      <c r="C8">
        <v>1</v>
      </c>
      <c r="D8">
        <v>240</v>
      </c>
    </row>
    <row r="9" spans="1:7">
      <c r="A9" t="s">
        <v>166</v>
      </c>
      <c r="B9">
        <v>106027</v>
      </c>
      <c r="C9">
        <v>1</v>
      </c>
      <c r="D9">
        <v>240</v>
      </c>
    </row>
    <row r="10" spans="1:7">
      <c r="A10" t="s">
        <v>167</v>
      </c>
      <c r="B10">
        <v>106027</v>
      </c>
      <c r="C10">
        <v>1</v>
      </c>
      <c r="D10">
        <v>150</v>
      </c>
    </row>
    <row r="11" spans="1:7">
      <c r="A11" t="s">
        <v>168</v>
      </c>
      <c r="B11">
        <v>106027</v>
      </c>
      <c r="C11">
        <v>1</v>
      </c>
      <c r="D11">
        <v>50</v>
      </c>
    </row>
    <row r="12" spans="1:7">
      <c r="A12" t="s">
        <v>170</v>
      </c>
      <c r="B12">
        <v>106027</v>
      </c>
      <c r="C12">
        <v>1</v>
      </c>
      <c r="D12">
        <v>10</v>
      </c>
    </row>
    <row r="13" spans="1:7">
      <c r="A13" t="s">
        <v>264</v>
      </c>
      <c r="B13">
        <v>117926</v>
      </c>
      <c r="C13">
        <v>3</v>
      </c>
      <c r="D13">
        <v>50</v>
      </c>
    </row>
    <row r="14" spans="1:7">
      <c r="A14" t="s">
        <v>265</v>
      </c>
      <c r="B14">
        <v>117926</v>
      </c>
      <c r="C14">
        <v>3</v>
      </c>
      <c r="D14">
        <v>75</v>
      </c>
    </row>
    <row r="15" spans="1:7">
      <c r="A15" t="s">
        <v>266</v>
      </c>
      <c r="B15">
        <v>117926</v>
      </c>
      <c r="C15">
        <v>3</v>
      </c>
      <c r="D15">
        <v>150</v>
      </c>
    </row>
    <row r="16" spans="1:7">
      <c r="A16" t="s">
        <v>267</v>
      </c>
      <c r="B16">
        <v>117926</v>
      </c>
      <c r="C16">
        <v>3</v>
      </c>
      <c r="D16">
        <v>400</v>
      </c>
    </row>
    <row r="17" spans="1:4">
      <c r="A17" t="s">
        <v>268</v>
      </c>
      <c r="B17">
        <v>117926</v>
      </c>
      <c r="C17">
        <v>3</v>
      </c>
      <c r="D17">
        <v>550</v>
      </c>
    </row>
    <row r="18" spans="1:4">
      <c r="A18" t="s">
        <v>269</v>
      </c>
      <c r="B18">
        <v>117926</v>
      </c>
      <c r="C18">
        <v>3</v>
      </c>
      <c r="D18">
        <v>1425</v>
      </c>
    </row>
    <row r="19" spans="1:4">
      <c r="A19" t="s">
        <v>270</v>
      </c>
      <c r="B19">
        <v>117926</v>
      </c>
      <c r="C19">
        <v>3</v>
      </c>
      <c r="D19">
        <v>1875</v>
      </c>
    </row>
    <row r="20" spans="1:4">
      <c r="A20" t="s">
        <v>271</v>
      </c>
      <c r="B20">
        <v>117926</v>
      </c>
      <c r="C20">
        <v>3</v>
      </c>
      <c r="D20">
        <v>1675</v>
      </c>
    </row>
    <row r="21" spans="1:4">
      <c r="A21" t="s">
        <v>272</v>
      </c>
      <c r="B21">
        <v>117926</v>
      </c>
      <c r="C21">
        <v>3</v>
      </c>
      <c r="D21">
        <v>1000</v>
      </c>
    </row>
    <row r="22" spans="1:4">
      <c r="A22" t="s">
        <v>273</v>
      </c>
      <c r="B22">
        <v>117926</v>
      </c>
      <c r="C22">
        <v>3</v>
      </c>
      <c r="D22">
        <v>475</v>
      </c>
    </row>
    <row r="23" spans="1:4">
      <c r="A23" t="s">
        <v>274</v>
      </c>
      <c r="B23">
        <v>117926</v>
      </c>
      <c r="C23">
        <v>3</v>
      </c>
      <c r="D23">
        <v>225</v>
      </c>
    </row>
    <row r="24" spans="1:4">
      <c r="A24" t="s">
        <v>275</v>
      </c>
      <c r="B24">
        <v>117926</v>
      </c>
      <c r="C24">
        <v>3</v>
      </c>
      <c r="D24">
        <v>100</v>
      </c>
    </row>
  </sheetData>
  <autoFilter ref="A1:D19228" xr:uid="{99F2DCDA-B023-4EC4-B99D-C99C25D3EF49}">
    <sortState xmlns:xlrd2="http://schemas.microsoft.com/office/spreadsheetml/2017/richdata2" ref="A2:D19228">
      <sortCondition ref="C2:C19228"/>
      <sortCondition ref="B2:B19228"/>
      <sortCondition ref="A2:A19228"/>
    </sortState>
  </autoFilter>
  <sortState xmlns:xlrd2="http://schemas.microsoft.com/office/spreadsheetml/2017/richdata2" ref="A12378:D13249">
    <sortCondition ref="C2:C13249"/>
    <sortCondition ref="B2:B13249"/>
    <sortCondition ref="A2:A13249"/>
  </sortState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E0E1-2A40-4CA0-BD13-4EB95B80D648}">
  <sheetPr codeName="Folha7"/>
  <dimension ref="A1:D24"/>
  <sheetViews>
    <sheetView tabSelected="1" workbookViewId="0">
      <selection activeCell="C28" sqref="C28"/>
    </sheetView>
  </sheetViews>
  <sheetFormatPr defaultRowHeight="15"/>
  <cols>
    <col min="1" max="1" width="14.5703125" bestFit="1" customWidth="1"/>
    <col min="3" max="3" width="11.42578125" bestFit="1" customWidth="1"/>
  </cols>
  <sheetData>
    <row r="1" spans="1:4">
      <c r="A1" t="s">
        <v>0</v>
      </c>
      <c r="B1" t="s">
        <v>21</v>
      </c>
      <c r="C1" t="s">
        <v>7</v>
      </c>
      <c r="D1" t="s">
        <v>281</v>
      </c>
    </row>
    <row r="2" spans="1:4">
      <c r="A2" t="s">
        <v>159</v>
      </c>
      <c r="B2">
        <v>106027</v>
      </c>
      <c r="C2">
        <v>2</v>
      </c>
      <c r="D2">
        <v>10</v>
      </c>
    </row>
    <row r="3" spans="1:4">
      <c r="A3" t="s">
        <v>160</v>
      </c>
      <c r="B3">
        <v>106027</v>
      </c>
      <c r="C3">
        <v>2</v>
      </c>
      <c r="D3">
        <v>10</v>
      </c>
    </row>
    <row r="4" spans="1:4">
      <c r="A4" t="s">
        <v>161</v>
      </c>
      <c r="B4">
        <v>106027</v>
      </c>
      <c r="C4">
        <v>2</v>
      </c>
      <c r="D4">
        <v>10</v>
      </c>
    </row>
    <row r="5" spans="1:4">
      <c r="A5" t="s">
        <v>162</v>
      </c>
      <c r="B5">
        <v>106027</v>
      </c>
      <c r="C5">
        <v>2</v>
      </c>
      <c r="D5">
        <v>40</v>
      </c>
    </row>
    <row r="6" spans="1:4">
      <c r="A6" t="s">
        <v>163</v>
      </c>
      <c r="B6">
        <v>106027</v>
      </c>
      <c r="C6">
        <v>2</v>
      </c>
      <c r="D6">
        <v>20</v>
      </c>
    </row>
    <row r="7" spans="1:4">
      <c r="A7" t="s">
        <v>164</v>
      </c>
      <c r="B7">
        <v>106027</v>
      </c>
      <c r="C7">
        <v>2</v>
      </c>
      <c r="D7">
        <v>220</v>
      </c>
    </row>
    <row r="8" spans="1:4">
      <c r="A8" t="s">
        <v>165</v>
      </c>
      <c r="B8">
        <v>106027</v>
      </c>
      <c r="C8">
        <v>2</v>
      </c>
      <c r="D8">
        <v>240</v>
      </c>
    </row>
    <row r="9" spans="1:4">
      <c r="A9" t="s">
        <v>166</v>
      </c>
      <c r="B9">
        <v>106027</v>
      </c>
      <c r="C9">
        <v>2</v>
      </c>
      <c r="D9">
        <v>240</v>
      </c>
    </row>
    <row r="10" spans="1:4">
      <c r="A10" t="s">
        <v>167</v>
      </c>
      <c r="B10">
        <v>106027</v>
      </c>
      <c r="C10">
        <v>2</v>
      </c>
      <c r="D10">
        <v>150</v>
      </c>
    </row>
    <row r="11" spans="1:4">
      <c r="A11" t="s">
        <v>168</v>
      </c>
      <c r="B11">
        <v>106027</v>
      </c>
      <c r="C11">
        <v>2</v>
      </c>
      <c r="D11">
        <v>50</v>
      </c>
    </row>
    <row r="12" spans="1:4">
      <c r="A12" t="s">
        <v>170</v>
      </c>
      <c r="B12">
        <v>106027</v>
      </c>
      <c r="C12">
        <v>2</v>
      </c>
      <c r="D12">
        <v>10</v>
      </c>
    </row>
    <row r="13" spans="1:4">
      <c r="A13" t="s">
        <v>264</v>
      </c>
      <c r="B13">
        <v>117926</v>
      </c>
      <c r="C13">
        <v>2</v>
      </c>
      <c r="D13">
        <v>50</v>
      </c>
    </row>
    <row r="14" spans="1:4">
      <c r="A14" t="s">
        <v>265</v>
      </c>
      <c r="B14">
        <v>117926</v>
      </c>
      <c r="C14">
        <v>2</v>
      </c>
      <c r="D14">
        <v>75</v>
      </c>
    </row>
    <row r="15" spans="1:4">
      <c r="A15" t="s">
        <v>266</v>
      </c>
      <c r="B15">
        <v>117926</v>
      </c>
      <c r="C15">
        <v>2</v>
      </c>
      <c r="D15">
        <v>150</v>
      </c>
    </row>
    <row r="16" spans="1:4">
      <c r="A16" t="s">
        <v>267</v>
      </c>
      <c r="B16">
        <v>117926</v>
      </c>
      <c r="C16">
        <v>2</v>
      </c>
      <c r="D16">
        <v>400</v>
      </c>
    </row>
    <row r="17" spans="1:4">
      <c r="A17" t="s">
        <v>268</v>
      </c>
      <c r="B17">
        <v>117926</v>
      </c>
      <c r="C17">
        <v>2</v>
      </c>
      <c r="D17">
        <v>550</v>
      </c>
    </row>
    <row r="18" spans="1:4">
      <c r="A18" t="s">
        <v>269</v>
      </c>
      <c r="B18">
        <v>117926</v>
      </c>
      <c r="C18">
        <v>2</v>
      </c>
      <c r="D18">
        <v>1425</v>
      </c>
    </row>
    <row r="19" spans="1:4">
      <c r="A19" t="s">
        <v>270</v>
      </c>
      <c r="B19">
        <v>117926</v>
      </c>
      <c r="C19">
        <v>2</v>
      </c>
      <c r="D19">
        <v>1875</v>
      </c>
    </row>
    <row r="20" spans="1:4">
      <c r="A20" t="s">
        <v>271</v>
      </c>
      <c r="B20">
        <v>117926</v>
      </c>
      <c r="C20">
        <v>2</v>
      </c>
      <c r="D20">
        <v>1675</v>
      </c>
    </row>
    <row r="21" spans="1:4">
      <c r="A21" t="s">
        <v>272</v>
      </c>
      <c r="B21">
        <v>117926</v>
      </c>
      <c r="C21">
        <v>2</v>
      </c>
      <c r="D21">
        <v>1000</v>
      </c>
    </row>
    <row r="22" spans="1:4">
      <c r="A22" t="s">
        <v>273</v>
      </c>
      <c r="B22">
        <v>117926</v>
      </c>
      <c r="C22">
        <v>2</v>
      </c>
      <c r="D22">
        <v>475</v>
      </c>
    </row>
    <row r="23" spans="1:4">
      <c r="A23" t="s">
        <v>274</v>
      </c>
      <c r="B23">
        <v>117926</v>
      </c>
      <c r="C23">
        <v>2</v>
      </c>
      <c r="D23">
        <v>225</v>
      </c>
    </row>
    <row r="24" spans="1:4">
      <c r="A24" t="s">
        <v>275</v>
      </c>
      <c r="B24">
        <v>117926</v>
      </c>
      <c r="C24">
        <v>2</v>
      </c>
      <c r="D24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CA349-5B0C-4BC1-BAB1-CBA92728AC8B}">
  <sheetPr codeName="Folha6"/>
  <dimension ref="A1:J84"/>
  <sheetViews>
    <sheetView workbookViewId="0">
      <selection activeCell="J2" sqref="J2:J7"/>
    </sheetView>
  </sheetViews>
  <sheetFormatPr defaultRowHeight="15"/>
  <cols>
    <col min="1" max="1" width="13.42578125" bestFit="1" customWidth="1"/>
    <col min="2" max="2" width="9" bestFit="1" customWidth="1"/>
  </cols>
  <sheetData>
    <row r="1" spans="1:10">
      <c r="A1" s="4" t="s">
        <v>65</v>
      </c>
      <c r="B1" s="4" t="s">
        <v>66</v>
      </c>
      <c r="J1" s="4" t="s">
        <v>66</v>
      </c>
    </row>
    <row r="2" spans="1:10">
      <c r="A2" t="s">
        <v>67</v>
      </c>
      <c r="B2" t="s">
        <v>68</v>
      </c>
      <c r="J2" t="s">
        <v>68</v>
      </c>
    </row>
    <row r="3" spans="1:10">
      <c r="A3" t="s">
        <v>69</v>
      </c>
      <c r="B3" t="s">
        <v>68</v>
      </c>
      <c r="J3" t="s">
        <v>72</v>
      </c>
    </row>
    <row r="4" spans="1:10">
      <c r="A4" t="s">
        <v>70</v>
      </c>
      <c r="B4" t="s">
        <v>68</v>
      </c>
      <c r="J4" t="s">
        <v>75</v>
      </c>
    </row>
    <row r="5" spans="1:10">
      <c r="A5" t="s">
        <v>71</v>
      </c>
      <c r="B5" t="s">
        <v>72</v>
      </c>
      <c r="J5" t="s">
        <v>79</v>
      </c>
    </row>
    <row r="6" spans="1:10">
      <c r="A6" t="s">
        <v>73</v>
      </c>
      <c r="B6" t="s">
        <v>72</v>
      </c>
      <c r="J6" t="s">
        <v>82</v>
      </c>
    </row>
    <row r="7" spans="1:10">
      <c r="A7" t="s">
        <v>74</v>
      </c>
      <c r="B7" t="s">
        <v>75</v>
      </c>
      <c r="J7" t="s">
        <v>93</v>
      </c>
    </row>
    <row r="8" spans="1:10">
      <c r="A8" t="s">
        <v>76</v>
      </c>
      <c r="B8" t="s">
        <v>75</v>
      </c>
    </row>
    <row r="9" spans="1:10">
      <c r="A9" t="s">
        <v>77</v>
      </c>
      <c r="B9" t="s">
        <v>72</v>
      </c>
    </row>
    <row r="10" spans="1:10">
      <c r="A10" t="s">
        <v>78</v>
      </c>
      <c r="B10" t="s">
        <v>72</v>
      </c>
    </row>
    <row r="11" spans="1:10">
      <c r="A11" t="s">
        <v>22</v>
      </c>
      <c r="B11" t="s">
        <v>79</v>
      </c>
    </row>
    <row r="12" spans="1:10">
      <c r="A12" t="s">
        <v>80</v>
      </c>
      <c r="B12" t="s">
        <v>79</v>
      </c>
    </row>
    <row r="13" spans="1:10">
      <c r="A13" t="s">
        <v>81</v>
      </c>
      <c r="B13" t="s">
        <v>82</v>
      </c>
    </row>
    <row r="14" spans="1:10">
      <c r="A14" t="s">
        <v>83</v>
      </c>
      <c r="B14" t="s">
        <v>72</v>
      </c>
    </row>
    <row r="15" spans="1:10">
      <c r="A15" t="s">
        <v>84</v>
      </c>
      <c r="B15" t="s">
        <v>72</v>
      </c>
    </row>
    <row r="16" spans="1:10">
      <c r="A16" t="s">
        <v>30</v>
      </c>
      <c r="B16" t="s">
        <v>72</v>
      </c>
    </row>
    <row r="17" spans="1:2">
      <c r="A17" t="s">
        <v>85</v>
      </c>
      <c r="B17" t="s">
        <v>72</v>
      </c>
    </row>
    <row r="18" spans="1:2">
      <c r="A18" t="s">
        <v>27</v>
      </c>
      <c r="B18" t="s">
        <v>72</v>
      </c>
    </row>
    <row r="19" spans="1:2">
      <c r="A19" t="s">
        <v>41</v>
      </c>
      <c r="B19" t="s">
        <v>72</v>
      </c>
    </row>
    <row r="20" spans="1:2">
      <c r="A20" t="s">
        <v>86</v>
      </c>
      <c r="B20" t="s">
        <v>72</v>
      </c>
    </row>
    <row r="21" spans="1:2">
      <c r="A21" t="s">
        <v>87</v>
      </c>
      <c r="B21" t="s">
        <v>72</v>
      </c>
    </row>
    <row r="22" spans="1:2">
      <c r="A22" t="s">
        <v>88</v>
      </c>
      <c r="B22" t="s">
        <v>72</v>
      </c>
    </row>
    <row r="23" spans="1:2">
      <c r="A23" t="s">
        <v>89</v>
      </c>
      <c r="B23" t="s">
        <v>72</v>
      </c>
    </row>
    <row r="24" spans="1:2">
      <c r="A24" t="s">
        <v>90</v>
      </c>
      <c r="B24" t="s">
        <v>72</v>
      </c>
    </row>
    <row r="25" spans="1:2">
      <c r="A25" t="s">
        <v>91</v>
      </c>
      <c r="B25" t="s">
        <v>72</v>
      </c>
    </row>
    <row r="26" spans="1:2">
      <c r="A26" t="s">
        <v>92</v>
      </c>
      <c r="B26" t="s">
        <v>93</v>
      </c>
    </row>
    <row r="27" spans="1:2">
      <c r="A27" t="s">
        <v>94</v>
      </c>
      <c r="B27" t="s">
        <v>93</v>
      </c>
    </row>
    <row r="28" spans="1:2">
      <c r="A28" t="s">
        <v>95</v>
      </c>
      <c r="B28" t="s">
        <v>93</v>
      </c>
    </row>
    <row r="29" spans="1:2">
      <c r="A29" t="s">
        <v>96</v>
      </c>
      <c r="B29" t="s">
        <v>93</v>
      </c>
    </row>
    <row r="30" spans="1:2">
      <c r="A30" t="s">
        <v>97</v>
      </c>
      <c r="B30" t="s">
        <v>93</v>
      </c>
    </row>
    <row r="31" spans="1:2">
      <c r="A31" t="s">
        <v>98</v>
      </c>
      <c r="B31" t="s">
        <v>93</v>
      </c>
    </row>
    <row r="32" spans="1:2">
      <c r="A32" t="s">
        <v>99</v>
      </c>
      <c r="B32" t="s">
        <v>93</v>
      </c>
    </row>
    <row r="33" spans="1:2">
      <c r="A33" t="s">
        <v>100</v>
      </c>
      <c r="B33" t="s">
        <v>93</v>
      </c>
    </row>
    <row r="34" spans="1:2">
      <c r="A34" t="s">
        <v>101</v>
      </c>
      <c r="B34" t="s">
        <v>68</v>
      </c>
    </row>
    <row r="35" spans="1:2">
      <c r="A35" t="s">
        <v>102</v>
      </c>
      <c r="B35" t="s">
        <v>68</v>
      </c>
    </row>
    <row r="36" spans="1:2">
      <c r="A36" t="s">
        <v>103</v>
      </c>
      <c r="B36" t="s">
        <v>68</v>
      </c>
    </row>
    <row r="37" spans="1:2">
      <c r="A37" t="s">
        <v>104</v>
      </c>
      <c r="B37" t="s">
        <v>68</v>
      </c>
    </row>
    <row r="38" spans="1:2">
      <c r="A38" t="s">
        <v>105</v>
      </c>
      <c r="B38" t="s">
        <v>68</v>
      </c>
    </row>
    <row r="39" spans="1:2">
      <c r="A39" t="s">
        <v>106</v>
      </c>
      <c r="B39" t="s">
        <v>75</v>
      </c>
    </row>
    <row r="40" spans="1:2">
      <c r="A40" t="s">
        <v>107</v>
      </c>
      <c r="B40" t="s">
        <v>79</v>
      </c>
    </row>
    <row r="41" spans="1:2">
      <c r="A41" t="s">
        <v>24</v>
      </c>
      <c r="B41" t="s">
        <v>79</v>
      </c>
    </row>
    <row r="42" spans="1:2">
      <c r="A42" t="s">
        <v>108</v>
      </c>
      <c r="B42" t="s">
        <v>79</v>
      </c>
    </row>
    <row r="43" spans="1:2">
      <c r="A43" t="s">
        <v>109</v>
      </c>
      <c r="B43" t="s">
        <v>82</v>
      </c>
    </row>
    <row r="44" spans="1:2">
      <c r="A44" t="s">
        <v>110</v>
      </c>
      <c r="B44" t="s">
        <v>72</v>
      </c>
    </row>
    <row r="45" spans="1:2">
      <c r="A45" t="s">
        <v>111</v>
      </c>
      <c r="B45" t="s">
        <v>72</v>
      </c>
    </row>
    <row r="46" spans="1:2">
      <c r="A46" t="s">
        <v>112</v>
      </c>
      <c r="B46" t="s">
        <v>72</v>
      </c>
    </row>
    <row r="47" spans="1:2">
      <c r="A47" t="s">
        <v>49</v>
      </c>
      <c r="B47" t="s">
        <v>72</v>
      </c>
    </row>
    <row r="48" spans="1:2">
      <c r="A48" t="s">
        <v>113</v>
      </c>
      <c r="B48" t="s">
        <v>72</v>
      </c>
    </row>
    <row r="49" spans="1:2">
      <c r="A49" t="s">
        <v>28</v>
      </c>
      <c r="B49" t="s">
        <v>72</v>
      </c>
    </row>
    <row r="50" spans="1:2">
      <c r="A50" t="s">
        <v>114</v>
      </c>
      <c r="B50" t="s">
        <v>72</v>
      </c>
    </row>
    <row r="51" spans="1:2">
      <c r="A51" t="s">
        <v>31</v>
      </c>
      <c r="B51" t="s">
        <v>72</v>
      </c>
    </row>
    <row r="52" spans="1:2">
      <c r="A52" t="s">
        <v>115</v>
      </c>
      <c r="B52" t="s">
        <v>72</v>
      </c>
    </row>
    <row r="53" spans="1:2">
      <c r="A53" t="s">
        <v>43</v>
      </c>
      <c r="B53" t="s">
        <v>72</v>
      </c>
    </row>
    <row r="54" spans="1:2">
      <c r="A54" t="s">
        <v>116</v>
      </c>
      <c r="B54" t="s">
        <v>72</v>
      </c>
    </row>
    <row r="55" spans="1:2">
      <c r="A55" t="s">
        <v>61</v>
      </c>
      <c r="B55" t="s">
        <v>72</v>
      </c>
    </row>
    <row r="56" spans="1:2">
      <c r="A56" t="s">
        <v>117</v>
      </c>
      <c r="B56" t="s">
        <v>72</v>
      </c>
    </row>
    <row r="57" spans="1:2">
      <c r="A57" t="s">
        <v>29</v>
      </c>
      <c r="B57" t="s">
        <v>72</v>
      </c>
    </row>
    <row r="58" spans="1:2">
      <c r="A58" t="s">
        <v>118</v>
      </c>
      <c r="B58" t="s">
        <v>72</v>
      </c>
    </row>
    <row r="59" spans="1:2">
      <c r="A59" t="s">
        <v>119</v>
      </c>
      <c r="B59" t="s">
        <v>72</v>
      </c>
    </row>
    <row r="60" spans="1:2">
      <c r="A60" t="s">
        <v>120</v>
      </c>
      <c r="B60" t="s">
        <v>72</v>
      </c>
    </row>
    <row r="61" spans="1:2">
      <c r="A61" t="s">
        <v>121</v>
      </c>
      <c r="B61" t="s">
        <v>72</v>
      </c>
    </row>
    <row r="62" spans="1:2">
      <c r="A62" t="s">
        <v>122</v>
      </c>
      <c r="B62" t="s">
        <v>72</v>
      </c>
    </row>
    <row r="63" spans="1:2">
      <c r="A63" t="s">
        <v>123</v>
      </c>
      <c r="B63" t="s">
        <v>72</v>
      </c>
    </row>
    <row r="64" spans="1:2">
      <c r="A64" t="s">
        <v>124</v>
      </c>
      <c r="B64" t="s">
        <v>93</v>
      </c>
    </row>
    <row r="65" spans="1:2">
      <c r="A65" t="s">
        <v>125</v>
      </c>
      <c r="B65" t="s">
        <v>93</v>
      </c>
    </row>
    <row r="66" spans="1:2">
      <c r="A66" t="s">
        <v>126</v>
      </c>
      <c r="B66" t="s">
        <v>68</v>
      </c>
    </row>
    <row r="67" spans="1:2">
      <c r="A67" t="s">
        <v>127</v>
      </c>
      <c r="B67" t="s">
        <v>68</v>
      </c>
    </row>
    <row r="68" spans="1:2">
      <c r="A68" t="s">
        <v>128</v>
      </c>
      <c r="B68" t="s">
        <v>68</v>
      </c>
    </row>
    <row r="69" spans="1:2">
      <c r="A69" t="s">
        <v>129</v>
      </c>
      <c r="B69" t="s">
        <v>68</v>
      </c>
    </row>
    <row r="70" spans="1:2">
      <c r="A70" t="s">
        <v>23</v>
      </c>
      <c r="B70" t="s">
        <v>79</v>
      </c>
    </row>
    <row r="71" spans="1:2">
      <c r="A71" t="s">
        <v>130</v>
      </c>
      <c r="B71" t="s">
        <v>79</v>
      </c>
    </row>
    <row r="72" spans="1:2">
      <c r="A72" t="s">
        <v>131</v>
      </c>
      <c r="B72" t="s">
        <v>79</v>
      </c>
    </row>
    <row r="73" spans="1:2">
      <c r="A73" t="s">
        <v>63</v>
      </c>
      <c r="B73" t="s">
        <v>79</v>
      </c>
    </row>
    <row r="74" spans="1:2">
      <c r="A74" t="s">
        <v>132</v>
      </c>
      <c r="B74" t="s">
        <v>79</v>
      </c>
    </row>
    <row r="75" spans="1:2">
      <c r="A75" t="s">
        <v>25</v>
      </c>
      <c r="B75" t="s">
        <v>79</v>
      </c>
    </row>
    <row r="76" spans="1:2">
      <c r="A76" t="s">
        <v>133</v>
      </c>
      <c r="B76" t="s">
        <v>79</v>
      </c>
    </row>
    <row r="77" spans="1:2">
      <c r="A77" t="s">
        <v>26</v>
      </c>
      <c r="B77" t="s">
        <v>79</v>
      </c>
    </row>
    <row r="78" spans="1:2">
      <c r="A78" t="s">
        <v>134</v>
      </c>
      <c r="B78" t="s">
        <v>82</v>
      </c>
    </row>
    <row r="79" spans="1:2">
      <c r="A79" t="s">
        <v>135</v>
      </c>
      <c r="B79" t="s">
        <v>72</v>
      </c>
    </row>
    <row r="80" spans="1:2">
      <c r="A80" t="s">
        <v>136</v>
      </c>
      <c r="B80" t="s">
        <v>72</v>
      </c>
    </row>
    <row r="81" spans="1:2">
      <c r="A81" t="s">
        <v>137</v>
      </c>
      <c r="B81" t="s">
        <v>72</v>
      </c>
    </row>
    <row r="82" spans="1:2">
      <c r="A82" t="s">
        <v>138</v>
      </c>
      <c r="B82" t="s">
        <v>72</v>
      </c>
    </row>
    <row r="83" spans="1:2">
      <c r="A83" t="s">
        <v>139</v>
      </c>
      <c r="B83" t="s">
        <v>72</v>
      </c>
    </row>
    <row r="84" spans="1:2">
      <c r="A84" t="s">
        <v>140</v>
      </c>
      <c r="B84" t="s">
        <v>72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E23BE-E65E-4AC3-AECD-91FC767531D0}">
  <sheetPr codeName="Folha4"/>
  <dimension ref="A1:D6"/>
  <sheetViews>
    <sheetView workbookViewId="0">
      <selection activeCell="G34" sqref="G34"/>
    </sheetView>
  </sheetViews>
  <sheetFormatPr defaultRowHeight="15"/>
  <cols>
    <col min="1" max="1" width="19" customWidth="1"/>
  </cols>
  <sheetData>
    <row r="1" spans="1:4">
      <c r="A1" t="s">
        <v>13</v>
      </c>
      <c r="B1" t="s">
        <v>14</v>
      </c>
      <c r="C1" t="s">
        <v>15</v>
      </c>
      <c r="D1" t="s">
        <v>16</v>
      </c>
    </row>
    <row r="2" spans="1:4">
      <c r="A2" t="s">
        <v>11</v>
      </c>
      <c r="B2">
        <v>10000</v>
      </c>
      <c r="C2">
        <v>1</v>
      </c>
      <c r="D2">
        <v>9000</v>
      </c>
    </row>
    <row r="3" spans="1:4">
      <c r="A3" t="s">
        <v>12</v>
      </c>
      <c r="B3">
        <v>10000</v>
      </c>
      <c r="C3">
        <v>1</v>
      </c>
      <c r="D3">
        <v>8000</v>
      </c>
    </row>
    <row r="4" spans="1:4">
      <c r="A4" t="s">
        <v>18</v>
      </c>
      <c r="B4">
        <v>20000</v>
      </c>
      <c r="C4">
        <v>4</v>
      </c>
      <c r="D4">
        <v>2000</v>
      </c>
    </row>
    <row r="5" spans="1:4">
      <c r="A5" t="s">
        <v>19</v>
      </c>
      <c r="B5">
        <v>40000</v>
      </c>
      <c r="C5">
        <v>4</v>
      </c>
      <c r="D5">
        <v>2500</v>
      </c>
    </row>
    <row r="6" spans="1:4">
      <c r="A6" t="s">
        <v>20</v>
      </c>
      <c r="B6">
        <v>60000</v>
      </c>
      <c r="C6">
        <v>5</v>
      </c>
      <c r="D6">
        <v>3000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7</vt:i4>
      </vt:variant>
      <vt:variant>
        <vt:lpstr>Intervalos com Nome</vt:lpstr>
      </vt:variant>
      <vt:variant>
        <vt:i4>13</vt:i4>
      </vt:variant>
    </vt:vector>
  </HeadingPairs>
  <TitlesOfParts>
    <vt:vector size="20" baseType="lpstr">
      <vt:lpstr>Dados</vt:lpstr>
      <vt:lpstr>Dados Tratados</vt:lpstr>
      <vt:lpstr>ItemsWeeksMoulds</vt:lpstr>
      <vt:lpstr>IT</vt:lpstr>
      <vt:lpstr>IT2</vt:lpstr>
      <vt:lpstr>MouldMatrix</vt:lpstr>
      <vt:lpstr>Vehicles</vt:lpstr>
      <vt:lpstr>'Dados Tratados'!Extrair</vt:lpstr>
      <vt:lpstr>ItemsWeeksMoulds!Extrair</vt:lpstr>
      <vt:lpstr>MouldMatrix!Extrair</vt:lpstr>
      <vt:lpstr>IOT</vt:lpstr>
      <vt:lpstr>IOTGas</vt:lpstr>
      <vt:lpstr>Items</vt:lpstr>
      <vt:lpstr>MI</vt:lpstr>
      <vt:lpstr>Moulds</vt:lpstr>
      <vt:lpstr>Orders</vt:lpstr>
      <vt:lpstr>Vehicles</vt:lpstr>
      <vt:lpstr>Weeks</vt:lpstr>
      <vt:lpstr>WeeksTotal</vt:lpstr>
      <vt:lpstr>WeeksTotalPlus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 Moreira</dc:creator>
  <cp:lastModifiedBy>André Moreira</cp:lastModifiedBy>
  <dcterms:created xsi:type="dcterms:W3CDTF">2021-05-12T13:12:42Z</dcterms:created>
  <dcterms:modified xsi:type="dcterms:W3CDTF">2021-06-28T15:49:43Z</dcterms:modified>
</cp:coreProperties>
</file>